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uuis\Downloads\"/>
    </mc:Choice>
  </mc:AlternateContent>
  <xr:revisionPtr revIDLastSave="0" documentId="13_ncr:1_{10F318DB-4552-488A-81E9-70B3211C9BAA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RECIOS" sheetId="1" r:id="rId1"/>
    <sheet name="INGRESO PERSONAL" sheetId="2" r:id="rId2"/>
    <sheet name=" DIESEL " sheetId="3" r:id="rId3"/>
    <sheet name="PROY GPO ESCOBEDO" sheetId="4" r:id="rId4"/>
    <sheet name="MEMORIA DE CALCULO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9" i="5" l="1"/>
  <c r="E58" i="5"/>
  <c r="L54" i="5"/>
  <c r="E46" i="5"/>
  <c r="E42" i="5"/>
  <c r="E47" i="5" s="1"/>
  <c r="E41" i="5"/>
  <c r="E40" i="5"/>
  <c r="F40" i="5" s="1"/>
  <c r="E39" i="5"/>
  <c r="K25" i="5"/>
  <c r="K24" i="5"/>
  <c r="K19" i="5"/>
  <c r="E19" i="5"/>
  <c r="R18" i="5"/>
  <c r="P18" i="5"/>
  <c r="K18" i="5"/>
  <c r="E18" i="5"/>
  <c r="R17" i="5"/>
  <c r="P17" i="5"/>
  <c r="P16" i="5"/>
  <c r="P19" i="5" s="1"/>
  <c r="K12" i="5"/>
  <c r="E12" i="5"/>
  <c r="E16" i="5" s="1"/>
  <c r="K11" i="5"/>
  <c r="E11" i="5"/>
  <c r="G40" i="5" s="1"/>
  <c r="K10" i="5"/>
  <c r="E10" i="5"/>
  <c r="G39" i="5" s="1"/>
  <c r="K9" i="5"/>
  <c r="E9" i="5"/>
  <c r="K8" i="5"/>
  <c r="E8" i="5"/>
  <c r="K7" i="5"/>
  <c r="E7" i="5"/>
  <c r="K6" i="5"/>
  <c r="E6" i="5"/>
  <c r="E5" i="5"/>
  <c r="F41" i="5" s="1"/>
  <c r="U24" i="4"/>
  <c r="G50" i="3"/>
  <c r="H50" i="3" s="1"/>
  <c r="G49" i="3"/>
  <c r="H49" i="3" s="1"/>
  <c r="G48" i="3"/>
  <c r="H48" i="3" s="1"/>
  <c r="G47" i="3"/>
  <c r="H47" i="3" s="1"/>
  <c r="D39" i="3"/>
  <c r="D40" i="3" s="1"/>
  <c r="D41" i="3" s="1"/>
  <c r="C29" i="3"/>
  <c r="C30" i="3" s="1"/>
  <c r="C31" i="3" s="1"/>
  <c r="C32" i="3" s="1"/>
  <c r="C33" i="3" s="1"/>
  <c r="C34" i="3" s="1"/>
  <c r="C35" i="3" s="1"/>
  <c r="C36" i="3" s="1"/>
  <c r="C37" i="3" s="1"/>
  <c r="C38" i="3" s="1"/>
  <c r="C39" i="3" s="1"/>
  <c r="C40" i="3" s="1"/>
  <c r="C41" i="3" s="1"/>
  <c r="C28" i="3"/>
  <c r="R20" i="3"/>
  <c r="R19" i="3"/>
  <c r="R18" i="3"/>
  <c r="U5" i="3"/>
  <c r="R5" i="3"/>
  <c r="U4" i="3"/>
  <c r="U6" i="3" s="1"/>
  <c r="D3" i="3"/>
  <c r="G29" i="3" s="1"/>
  <c r="H29" i="3" s="1"/>
  <c r="C23" i="2"/>
  <c r="C22" i="2"/>
  <c r="C21" i="2"/>
  <c r="BE20" i="2"/>
  <c r="BD20" i="2"/>
  <c r="AZ20" i="2"/>
  <c r="AS20" i="2"/>
  <c r="AP20" i="2"/>
  <c r="AN20" i="2"/>
  <c r="AL20" i="2"/>
  <c r="AG20" i="2"/>
  <c r="AF20" i="2"/>
  <c r="AD20" i="2"/>
  <c r="AH20" i="2" s="1"/>
  <c r="AB20" i="2"/>
  <c r="Z20" i="2"/>
  <c r="V20" i="2"/>
  <c r="U20" i="2"/>
  <c r="T20" i="2"/>
  <c r="X20" i="2" s="1"/>
  <c r="R20" i="2"/>
  <c r="P20" i="2"/>
  <c r="N20" i="2"/>
  <c r="J20" i="2"/>
  <c r="H20" i="2"/>
  <c r="F20" i="2"/>
  <c r="C20" i="2"/>
  <c r="BO19" i="2"/>
  <c r="BK19" i="2"/>
  <c r="BJ19" i="2"/>
  <c r="BJ20" i="2" s="1"/>
  <c r="BI19" i="2"/>
  <c r="BH19" i="2"/>
  <c r="BL19" i="2" s="1"/>
  <c r="BF19" i="2"/>
  <c r="BE19" i="2"/>
  <c r="BD19" i="2"/>
  <c r="BG19" i="2" s="1"/>
  <c r="BC19" i="2"/>
  <c r="BA19" i="2"/>
  <c r="AZ19" i="2"/>
  <c r="AY19" i="2"/>
  <c r="AX19" i="2"/>
  <c r="AX20" i="2" s="1"/>
  <c r="AV19" i="2"/>
  <c r="AU19" i="2"/>
  <c r="AT19" i="2"/>
  <c r="AS19" i="2"/>
  <c r="AW19" i="2" s="1"/>
  <c r="AR19" i="2"/>
  <c r="AQ19" i="2"/>
  <c r="AP19" i="2"/>
  <c r="AO19" i="2"/>
  <c r="AN19" i="2"/>
  <c r="BR18" i="2"/>
  <c r="BP18" i="2"/>
  <c r="CA18" i="2" s="1"/>
  <c r="BL18" i="2"/>
  <c r="CC18" i="2" s="1"/>
  <c r="CC17" i="2"/>
  <c r="BY17" i="2"/>
  <c r="BX17" i="2"/>
  <c r="BW17" i="2"/>
  <c r="BV17" i="2"/>
  <c r="BU17" i="2"/>
  <c r="BT17" i="2"/>
  <c r="BS17" i="2"/>
  <c r="BR17" i="2"/>
  <c r="CD17" i="2" s="1"/>
  <c r="BQ17" i="2"/>
  <c r="BP17" i="2"/>
  <c r="BG17" i="2"/>
  <c r="CB17" i="2" s="1"/>
  <c r="BB17" i="2"/>
  <c r="CA17" i="2" s="1"/>
  <c r="AW17" i="2"/>
  <c r="BZ17" i="2" s="1"/>
  <c r="CC16" i="2"/>
  <c r="CA16" i="2"/>
  <c r="BW16" i="2"/>
  <c r="BV16" i="2"/>
  <c r="BU16" i="2"/>
  <c r="BS16" i="2"/>
  <c r="BR16" i="2"/>
  <c r="BQ16" i="2"/>
  <c r="BP16" i="2"/>
  <c r="CB16" i="2" s="1"/>
  <c r="BL16" i="2"/>
  <c r="BG16" i="2"/>
  <c r="BB16" i="2"/>
  <c r="AW16" i="2"/>
  <c r="BZ16" i="2" s="1"/>
  <c r="AR16" i="2"/>
  <c r="BY16" i="2" s="1"/>
  <c r="CG15" i="2"/>
  <c r="CC15" i="2"/>
  <c r="CA15" i="2"/>
  <c r="BW15" i="2"/>
  <c r="BV15" i="2"/>
  <c r="BU15" i="2"/>
  <c r="BS15" i="2"/>
  <c r="BR15" i="2"/>
  <c r="BQ15" i="2"/>
  <c r="BP15" i="2"/>
  <c r="CB15" i="2" s="1"/>
  <c r="BL15" i="2"/>
  <c r="CC14" i="2"/>
  <c r="CA14" i="2"/>
  <c r="BZ14" i="2"/>
  <c r="BY14" i="2"/>
  <c r="BX14" i="2"/>
  <c r="BW14" i="2"/>
  <c r="BS14" i="2"/>
  <c r="BR14" i="2"/>
  <c r="BQ14" i="2"/>
  <c r="BP14" i="2"/>
  <c r="BV14" i="2" s="1"/>
  <c r="BL14" i="2"/>
  <c r="CG13" i="2"/>
  <c r="CH13" i="2" s="1"/>
  <c r="BZ13" i="2"/>
  <c r="BY13" i="2"/>
  <c r="BX13" i="2"/>
  <c r="BW13" i="2"/>
  <c r="BV13" i="2"/>
  <c r="BU13" i="2"/>
  <c r="BT13" i="2"/>
  <c r="BS13" i="2"/>
  <c r="BP13" i="2"/>
  <c r="BR13" i="2" s="1"/>
  <c r="BL13" i="2"/>
  <c r="CC13" i="2" s="1"/>
  <c r="BG13" i="2"/>
  <c r="CB13" i="2" s="1"/>
  <c r="BB13" i="2"/>
  <c r="CA13" i="2" s="1"/>
  <c r="AW13" i="2"/>
  <c r="AR13" i="2"/>
  <c r="CG12" i="2"/>
  <c r="CH12" i="2" s="1"/>
  <c r="BZ12" i="2"/>
  <c r="BY12" i="2"/>
  <c r="BX12" i="2"/>
  <c r="BW12" i="2"/>
  <c r="BV12" i="2"/>
  <c r="BU12" i="2"/>
  <c r="BT12" i="2"/>
  <c r="BS12" i="2"/>
  <c r="BP12" i="2"/>
  <c r="BR12" i="2" s="1"/>
  <c r="BL12" i="2"/>
  <c r="CC12" i="2" s="1"/>
  <c r="BG12" i="2"/>
  <c r="CB12" i="2" s="1"/>
  <c r="BB12" i="2"/>
  <c r="CA12" i="2" s="1"/>
  <c r="AW12" i="2"/>
  <c r="AR12" i="2"/>
  <c r="BW11" i="2"/>
  <c r="BV11" i="2"/>
  <c r="BU11" i="2"/>
  <c r="BP11" i="2"/>
  <c r="BX11" i="2" s="1"/>
  <c r="BL11" i="2"/>
  <c r="CC11" i="2" s="1"/>
  <c r="BG11" i="2"/>
  <c r="CB11" i="2" s="1"/>
  <c r="BB11" i="2"/>
  <c r="CA11" i="2" s="1"/>
  <c r="AW11" i="2"/>
  <c r="BZ11" i="2" s="1"/>
  <c r="AR11" i="2"/>
  <c r="BY11" i="2" s="1"/>
  <c r="CA10" i="2"/>
  <c r="BW10" i="2"/>
  <c r="BU10" i="2"/>
  <c r="BP10" i="2"/>
  <c r="BX10" i="2" s="1"/>
  <c r="BL10" i="2"/>
  <c r="CC10" i="2" s="1"/>
  <c r="BG10" i="2"/>
  <c r="BB10" i="2"/>
  <c r="AW10" i="2"/>
  <c r="BZ10" i="2" s="1"/>
  <c r="AR10" i="2"/>
  <c r="BY10" i="2" s="1"/>
  <c r="CC9" i="2"/>
  <c r="BX9" i="2"/>
  <c r="BW9" i="2"/>
  <c r="BV9" i="2"/>
  <c r="BU9" i="2"/>
  <c r="BT9" i="2"/>
  <c r="BS9" i="2"/>
  <c r="BR9" i="2"/>
  <c r="BP9" i="2"/>
  <c r="BL9" i="2"/>
  <c r="BG9" i="2"/>
  <c r="CB9" i="2" s="1"/>
  <c r="BB9" i="2"/>
  <c r="CA9" i="2" s="1"/>
  <c r="AW9" i="2"/>
  <c r="BZ9" i="2" s="1"/>
  <c r="AR9" i="2"/>
  <c r="BQ9" i="2" s="1"/>
  <c r="CA8" i="2"/>
  <c r="BY8" i="2"/>
  <c r="BU8" i="2"/>
  <c r="BT8" i="2"/>
  <c r="BS8" i="2"/>
  <c r="BP8" i="2"/>
  <c r="CB8" i="2" s="1"/>
  <c r="BL8" i="2"/>
  <c r="CC8" i="2" s="1"/>
  <c r="BG8" i="2"/>
  <c r="BB8" i="2"/>
  <c r="AW8" i="2"/>
  <c r="AR8" i="2"/>
  <c r="CA7" i="2"/>
  <c r="BW7" i="2"/>
  <c r="BU7" i="2"/>
  <c r="BP7" i="2"/>
  <c r="BX7" i="2" s="1"/>
  <c r="BL7" i="2"/>
  <c r="CC7" i="2" s="1"/>
  <c r="BG7" i="2"/>
  <c r="BB7" i="2"/>
  <c r="AW7" i="2"/>
  <c r="BZ7" i="2" s="1"/>
  <c r="AR7" i="2"/>
  <c r="BY7" i="2" s="1"/>
  <c r="CC6" i="2"/>
  <c r="BX6" i="2"/>
  <c r="BW6" i="2"/>
  <c r="BV6" i="2"/>
  <c r="BU6" i="2"/>
  <c r="BT6" i="2"/>
  <c r="BS6" i="2"/>
  <c r="BR6" i="2"/>
  <c r="CD6" i="2" s="1"/>
  <c r="BQ6" i="2"/>
  <c r="BL6" i="2"/>
  <c r="BG6" i="2"/>
  <c r="CB6" i="2" s="1"/>
  <c r="BB6" i="2"/>
  <c r="CA6" i="2" s="1"/>
  <c r="AW6" i="2"/>
  <c r="BZ6" i="2" s="1"/>
  <c r="AR6" i="2"/>
  <c r="BY6" i="2" s="1"/>
  <c r="BZ5" i="2"/>
  <c r="BR5" i="2"/>
  <c r="BP5" i="2"/>
  <c r="CA5" i="2" s="1"/>
  <c r="BL5" i="2"/>
  <c r="CC5" i="2" s="1"/>
  <c r="BG5" i="2"/>
  <c r="CB5" i="2" s="1"/>
  <c r="BB5" i="2"/>
  <c r="AW5" i="2"/>
  <c r="AR5" i="2"/>
  <c r="CG3" i="2"/>
  <c r="F2" i="2"/>
  <c r="BA20" i="2" s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E9" i="1"/>
  <c r="F9" i="1" s="1"/>
  <c r="F8" i="1"/>
  <c r="E7" i="1"/>
  <c r="F7" i="1" s="1"/>
  <c r="E20" i="5" l="1"/>
  <c r="E48" i="5"/>
  <c r="E65" i="5"/>
  <c r="F65" i="5" s="1"/>
  <c r="CA19" i="2"/>
  <c r="CI14" i="2" s="1"/>
  <c r="CJ14" i="2" s="1"/>
  <c r="CD13" i="2"/>
  <c r="CD15" i="2"/>
  <c r="CC19" i="2"/>
  <c r="CI16" i="2" s="1"/>
  <c r="CJ16" i="2" s="1"/>
  <c r="AW20" i="2"/>
  <c r="P24" i="5"/>
  <c r="R19" i="5"/>
  <c r="CD12" i="2"/>
  <c r="CH14" i="2"/>
  <c r="BQ8" i="2"/>
  <c r="BQ11" i="2"/>
  <c r="CG16" i="2"/>
  <c r="CB18" i="2"/>
  <c r="G32" i="3"/>
  <c r="H32" i="3" s="1"/>
  <c r="G35" i="3"/>
  <c r="H35" i="3" s="1"/>
  <c r="G38" i="3"/>
  <c r="H38" i="3" s="1"/>
  <c r="E6" i="1"/>
  <c r="BQ5" i="2"/>
  <c r="BR8" i="2"/>
  <c r="BT11" i="2"/>
  <c r="CD11" i="2" s="1"/>
  <c r="CB14" i="2"/>
  <c r="BT15" i="2"/>
  <c r="CH15" i="2"/>
  <c r="BT16" i="2"/>
  <c r="CD16" i="2" s="1"/>
  <c r="CH16" i="2"/>
  <c r="BQ18" i="2"/>
  <c r="G20" i="2"/>
  <c r="AE20" i="2"/>
  <c r="AQ20" i="2"/>
  <c r="BC20" i="2"/>
  <c r="E13" i="5"/>
  <c r="G41" i="5"/>
  <c r="K13" i="5"/>
  <c r="E14" i="5"/>
  <c r="F42" i="5"/>
  <c r="AT20" i="2"/>
  <c r="BF20" i="2"/>
  <c r="G31" i="3"/>
  <c r="H31" i="3" s="1"/>
  <c r="G34" i="3"/>
  <c r="H34" i="3" s="1"/>
  <c r="G37" i="3"/>
  <c r="H37" i="3" s="1"/>
  <c r="F39" i="5"/>
  <c r="CB7" i="2"/>
  <c r="CB19" i="2" s="1"/>
  <c r="CI15" i="2" s="1"/>
  <c r="CJ15" i="2" s="1"/>
  <c r="G41" i="3"/>
  <c r="H41" i="3" s="1"/>
  <c r="CG14" i="2"/>
  <c r="BT18" i="2"/>
  <c r="BU5" i="2"/>
  <c r="BR7" i="2"/>
  <c r="BV8" i="2"/>
  <c r="BR10" i="2"/>
  <c r="BT14" i="2"/>
  <c r="CD14" i="2" s="1"/>
  <c r="BX15" i="2"/>
  <c r="BX16" i="2"/>
  <c r="BU18" i="2"/>
  <c r="K20" i="2"/>
  <c r="W20" i="2"/>
  <c r="AI20" i="2"/>
  <c r="AM20" i="2" s="1"/>
  <c r="AU20" i="2"/>
  <c r="E15" i="5"/>
  <c r="G28" i="3"/>
  <c r="H28" i="3" s="1"/>
  <c r="BS5" i="2"/>
  <c r="CD5" i="2" s="1"/>
  <c r="CB10" i="2"/>
  <c r="BS18" i="2"/>
  <c r="CD18" i="2" s="1"/>
  <c r="BT5" i="2"/>
  <c r="BQ7" i="2"/>
  <c r="BY9" i="2"/>
  <c r="CD9" i="2" s="1"/>
  <c r="BV5" i="2"/>
  <c r="BS7" i="2"/>
  <c r="BW8" i="2"/>
  <c r="BS10" i="2"/>
  <c r="BQ12" i="2"/>
  <c r="BQ13" i="2"/>
  <c r="BU14" i="2"/>
  <c r="BY15" i="2"/>
  <c r="BV18" i="2"/>
  <c r="BB19" i="2"/>
  <c r="BP19" i="2"/>
  <c r="L20" i="2"/>
  <c r="AJ20" i="2"/>
  <c r="AV20" i="2"/>
  <c r="BH20" i="2"/>
  <c r="R6" i="3"/>
  <c r="G27" i="3"/>
  <c r="H27" i="3" s="1"/>
  <c r="G40" i="3"/>
  <c r="H40" i="3" s="1"/>
  <c r="F58" i="5"/>
  <c r="BQ10" i="2"/>
  <c r="BW5" i="2"/>
  <c r="BW19" i="2" s="1"/>
  <c r="BT7" i="2"/>
  <c r="BX8" i="2"/>
  <c r="BT10" i="2"/>
  <c r="BZ15" i="2"/>
  <c r="BW18" i="2"/>
  <c r="M20" i="2"/>
  <c r="Y20" i="2"/>
  <c r="AC20" i="2" s="1"/>
  <c r="AK20" i="2"/>
  <c r="BI20" i="2"/>
  <c r="K5" i="5"/>
  <c r="K15" i="5" s="1"/>
  <c r="BX5" i="2"/>
  <c r="BX18" i="2"/>
  <c r="G30" i="3"/>
  <c r="H30" i="3" s="1"/>
  <c r="G33" i="3"/>
  <c r="H33" i="3" s="1"/>
  <c r="G36" i="3"/>
  <c r="H36" i="3" s="1"/>
  <c r="BY5" i="2"/>
  <c r="BV7" i="2"/>
  <c r="BZ8" i="2"/>
  <c r="BV10" i="2"/>
  <c r="BY18" i="2"/>
  <c r="O20" i="2"/>
  <c r="S20" i="2" s="1"/>
  <c r="AA20" i="2"/>
  <c r="AY20" i="2"/>
  <c r="BB20" i="2" s="1"/>
  <c r="BK20" i="2"/>
  <c r="G39" i="3"/>
  <c r="H39" i="3" s="1"/>
  <c r="F59" i="5"/>
  <c r="BZ18" i="2"/>
  <c r="BZ19" i="2" s="1"/>
  <c r="CI13" i="2" s="1"/>
  <c r="CJ13" i="2" s="1"/>
  <c r="E20" i="2"/>
  <c r="I20" i="2" s="1"/>
  <c r="Q20" i="2"/>
  <c r="AO20" i="2"/>
  <c r="AR20" i="2" s="1"/>
  <c r="R16" i="5"/>
  <c r="CD10" i="2" l="1"/>
  <c r="CD19" i="2" s="1"/>
  <c r="Q24" i="5"/>
  <c r="J39" i="3"/>
  <c r="K39" i="3" s="1"/>
  <c r="J36" i="3"/>
  <c r="K36" i="3" s="1"/>
  <c r="J33" i="3"/>
  <c r="K33" i="3" s="1"/>
  <c r="J30" i="3"/>
  <c r="K30" i="3" s="1"/>
  <c r="J40" i="3"/>
  <c r="K40" i="3" s="1"/>
  <c r="J27" i="3"/>
  <c r="K27" i="3" s="1"/>
  <c r="R9" i="3"/>
  <c r="R12" i="3" s="1"/>
  <c r="R13" i="3" s="1"/>
  <c r="R14" i="3" s="1"/>
  <c r="J37" i="3"/>
  <c r="K37" i="3" s="1"/>
  <c r="J34" i="3"/>
  <c r="K34" i="3" s="1"/>
  <c r="J31" i="3"/>
  <c r="K31" i="3" s="1"/>
  <c r="J38" i="3"/>
  <c r="K38" i="3" s="1"/>
  <c r="J35" i="3"/>
  <c r="K35" i="3" s="1"/>
  <c r="J41" i="3"/>
  <c r="K41" i="3" s="1"/>
  <c r="J32" i="3"/>
  <c r="K32" i="3" s="1"/>
  <c r="J28" i="3"/>
  <c r="K28" i="3" s="1"/>
  <c r="J29" i="3"/>
  <c r="K29" i="3" s="1"/>
  <c r="CD7" i="2"/>
  <c r="BR19" i="2"/>
  <c r="F46" i="5"/>
  <c r="BS19" i="2"/>
  <c r="BU19" i="2"/>
  <c r="BY19" i="2"/>
  <c r="CI12" i="2" s="1"/>
  <c r="S11" i="5"/>
  <c r="K20" i="5"/>
  <c r="P6" i="5" s="1"/>
  <c r="K17" i="5"/>
  <c r="S10" i="5"/>
  <c r="Q16" i="5"/>
  <c r="E64" i="5"/>
  <c r="G42" i="5"/>
  <c r="E17" i="5"/>
  <c r="CD8" i="2"/>
  <c r="Q17" i="5"/>
  <c r="Q19" i="5"/>
  <c r="F47" i="5"/>
  <c r="BV19" i="2"/>
  <c r="E49" i="5"/>
  <c r="F48" i="5"/>
  <c r="BG20" i="2"/>
  <c r="BQ19" i="2"/>
  <c r="Q18" i="5"/>
  <c r="K16" i="5"/>
  <c r="BL20" i="2"/>
  <c r="BT19" i="2"/>
  <c r="E5" i="1"/>
  <c r="F5" i="1" s="1"/>
  <c r="F6" i="1"/>
  <c r="Q10" i="5"/>
  <c r="U39" i="5"/>
  <c r="U40" i="5" s="1"/>
  <c r="P7" i="5"/>
  <c r="K14" i="5"/>
  <c r="Q11" i="5"/>
  <c r="BX19" i="2"/>
  <c r="M37" i="3" l="1"/>
  <c r="L37" i="3"/>
  <c r="M40" i="3"/>
  <c r="L40" i="3"/>
  <c r="F64" i="5"/>
  <c r="H59" i="5"/>
  <c r="H58" i="5"/>
  <c r="L29" i="3"/>
  <c r="M29" i="3"/>
  <c r="M30" i="3"/>
  <c r="L30" i="3"/>
  <c r="M28" i="3"/>
  <c r="L28" i="3"/>
  <c r="M33" i="3"/>
  <c r="L33" i="3"/>
  <c r="M34" i="3"/>
  <c r="L34" i="3"/>
  <c r="M36" i="3"/>
  <c r="L36" i="3"/>
  <c r="M39" i="3"/>
  <c r="L39" i="3"/>
  <c r="M35" i="3"/>
  <c r="L35" i="3"/>
  <c r="M38" i="3"/>
  <c r="L38" i="3"/>
  <c r="M27" i="3"/>
  <c r="L27" i="3"/>
  <c r="M32" i="3"/>
  <c r="L32" i="3"/>
  <c r="S7" i="5"/>
  <c r="Q7" i="5"/>
  <c r="E55" i="5"/>
  <c r="M41" i="3"/>
  <c r="G54" i="3" s="1"/>
  <c r="H54" i="3" s="1"/>
  <c r="L41" i="3"/>
  <c r="E54" i="5"/>
  <c r="S6" i="5"/>
  <c r="Q6" i="5"/>
  <c r="P8" i="5"/>
  <c r="CJ12" i="2"/>
  <c r="CI17" i="2"/>
  <c r="M31" i="3"/>
  <c r="L31" i="3"/>
  <c r="H54" i="5" l="1"/>
  <c r="F54" i="5"/>
  <c r="CI19" i="2"/>
  <c r="CI18" i="2"/>
  <c r="E56" i="5"/>
  <c r="S8" i="5"/>
  <c r="Q8" i="5"/>
  <c r="H55" i="5"/>
  <c r="F55" i="5"/>
  <c r="G52" i="3"/>
  <c r="H52" i="3" s="1"/>
  <c r="G53" i="3"/>
  <c r="H53" i="3" s="1"/>
  <c r="G51" i="3"/>
  <c r="N27" i="3"/>
  <c r="N28" i="3" s="1"/>
  <c r="N29" i="3" s="1"/>
  <c r="N30" i="3" s="1"/>
  <c r="N31" i="3" s="1"/>
  <c r="N32" i="3" s="1"/>
  <c r="N33" i="3" s="1"/>
  <c r="N34" i="3" s="1"/>
  <c r="N35" i="3" s="1"/>
  <c r="N36" i="3" s="1"/>
  <c r="N37" i="3" s="1"/>
  <c r="N38" i="3" s="1"/>
  <c r="N39" i="3" s="1"/>
  <c r="N40" i="3" s="1"/>
  <c r="N41" i="3" s="1"/>
  <c r="H56" i="5" l="1"/>
  <c r="F56" i="5"/>
  <c r="P9" i="5"/>
  <c r="R24" i="3"/>
  <c r="H51" i="3"/>
  <c r="H57" i="3" s="1"/>
  <c r="H58" i="3" s="1"/>
  <c r="G57" i="3"/>
  <c r="G58" i="3" s="1"/>
  <c r="S9" i="5" l="1"/>
  <c r="R9" i="5"/>
  <c r="Q9" i="5"/>
  <c r="E57" i="5"/>
  <c r="P12" i="5"/>
  <c r="R28" i="3"/>
  <c r="R25" i="3"/>
  <c r="R29" i="3" s="1"/>
  <c r="R23" i="3"/>
  <c r="R12" i="5" l="1"/>
  <c r="Q12" i="5"/>
  <c r="P23" i="5"/>
  <c r="R11" i="5"/>
  <c r="E60" i="5"/>
  <c r="S12" i="5"/>
  <c r="R10" i="5"/>
  <c r="R6" i="5"/>
  <c r="R7" i="5"/>
  <c r="R8" i="5"/>
  <c r="H57" i="5"/>
  <c r="G57" i="5"/>
  <c r="F57" i="5"/>
  <c r="H60" i="5" l="1"/>
  <c r="G60" i="5"/>
  <c r="F60" i="5"/>
  <c r="G58" i="5"/>
  <c r="G59" i="5"/>
  <c r="G55" i="5"/>
  <c r="G54" i="5"/>
  <c r="G56" i="5"/>
  <c r="Q23" i="5"/>
  <c r="P25" i="5"/>
  <c r="P27" i="5"/>
  <c r="Q25" i="5" l="1"/>
  <c r="P26" i="5"/>
  <c r="E66" i="5"/>
  <c r="F67" i="5" l="1"/>
  <c r="E67" i="5"/>
  <c r="F66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I7" authorId="0" shapeId="0" xr:uid="{00000000-0006-0000-0200-000001000000}">
      <text>
        <r>
          <rPr>
            <sz val="11"/>
            <color rgb="FF000000"/>
            <rFont val="Calibri"/>
            <scheme val="minor"/>
          </rPr>
          <t xml:space="preserve">Juventino Barreras:
LLENADO EN 4
 DIAS
</t>
        </r>
      </text>
    </comment>
    <comment ref="I27" authorId="0" shapeId="0" xr:uid="{00000000-0006-0000-0200-000002000000}">
      <text>
        <r>
          <rPr>
            <sz val="11"/>
            <color rgb="FF000000"/>
            <rFont val="Calibri"/>
            <scheme val="minor"/>
          </rPr>
          <t xml:space="preserve">Juventino Barreras:
LLENADO EN 5 DIAS
</t>
        </r>
      </text>
    </comment>
  </commentList>
</comments>
</file>

<file path=xl/sharedStrings.xml><?xml version="1.0" encoding="utf-8"?>
<sst xmlns="http://schemas.openxmlformats.org/spreadsheetml/2006/main" count="474" uniqueCount="206">
  <si>
    <t>PRECIOS ACUAC. DE AHOME</t>
  </si>
  <si>
    <t>PP</t>
  </si>
  <si>
    <t xml:space="preserve"> +GR</t>
  </si>
  <si>
    <t>$ TOTAL</t>
  </si>
  <si>
    <t>RESUMEN NOMINA</t>
  </si>
  <si>
    <t>ENE</t>
  </si>
  <si>
    <t>MENS</t>
  </si>
  <si>
    <t>FEB.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</si>
  <si>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</si>
  <si>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</si>
  <si>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</si>
  <si>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</si>
  <si>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</si>
  <si>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</si>
  <si>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</si>
  <si>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</si>
  <si>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</si>
  <si>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</si>
  <si>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PRESUPUESTO NOMINA DESEMBOCADEROS 2025</t>
  </si>
  <si>
    <t>HAS</t>
  </si>
  <si>
    <t>GASTO</t>
  </si>
  <si>
    <t>PUESTO</t>
  </si>
  <si>
    <t xml:space="preserve">SEM1 </t>
  </si>
  <si>
    <t>SEM2</t>
  </si>
  <si>
    <t>SEM3</t>
  </si>
  <si>
    <t>SEM4</t>
  </si>
  <si>
    <t>PERS</t>
  </si>
  <si>
    <t>PROM</t>
  </si>
  <si>
    <t>SEM.</t>
  </si>
  <si>
    <t>MEN</t>
  </si>
  <si>
    <t>ANUAL</t>
  </si>
  <si>
    <t>ABR</t>
  </si>
  <si>
    <t>TOT</t>
  </si>
  <si>
    <t>MES</t>
  </si>
  <si>
    <t>NO PER</t>
  </si>
  <si>
    <t>HAS/PER</t>
  </si>
  <si>
    <t>MENSUAL</t>
  </si>
  <si>
    <t>COSTO/HA</t>
  </si>
  <si>
    <t>GERENTE DE GRANJA</t>
  </si>
  <si>
    <t>GERENTE DE GRANJAS</t>
  </si>
  <si>
    <t>ENER</t>
  </si>
  <si>
    <t>SUB GEREBTE PROD</t>
  </si>
  <si>
    <t>FEBRERO</t>
  </si>
  <si>
    <t>TECNICO EMPIRICO</t>
  </si>
  <si>
    <t>MARZO</t>
  </si>
  <si>
    <t>PARAMETRISTA</t>
  </si>
  <si>
    <t>ABRIL</t>
  </si>
  <si>
    <t>CHAROLERO</t>
  </si>
  <si>
    <t>MAYO</t>
  </si>
  <si>
    <t>TRACTORISTA</t>
  </si>
  <si>
    <t>JUNIO</t>
  </si>
  <si>
    <t>PRIMER CICLO</t>
  </si>
  <si>
    <t>ALIMENTADORES</t>
  </si>
  <si>
    <t>JULIO</t>
  </si>
  <si>
    <t>ACTIVIDADES DIVERSAS</t>
  </si>
  <si>
    <t>AGOSTO</t>
  </si>
  <si>
    <t xml:space="preserve">COCINERA </t>
  </si>
  <si>
    <t>SEPTIEMBRE</t>
  </si>
  <si>
    <t>JEFE DE BOMBEROS</t>
  </si>
  <si>
    <t>OCTUBRE</t>
  </si>
  <si>
    <t>BOMBERO</t>
  </si>
  <si>
    <t>NOVIEMBRE</t>
  </si>
  <si>
    <t>ENCARGADO MTTO</t>
  </si>
  <si>
    <t>DICIEMBRE</t>
  </si>
  <si>
    <t>SEGUNDO CICLO</t>
  </si>
  <si>
    <t>VIGILANTE</t>
  </si>
  <si>
    <t>O</t>
  </si>
  <si>
    <t>TOTAL</t>
  </si>
  <si>
    <t>COSTO TOTAL</t>
  </si>
  <si>
    <t>ADMINISTRADOR ALMACENISTA</t>
  </si>
  <si>
    <t>GASTO/HA</t>
  </si>
  <si>
    <t>PESOS/HA</t>
  </si>
  <si>
    <t>GASTO/KG</t>
  </si>
  <si>
    <t>PESO/KG</t>
  </si>
  <si>
    <t>HAS / PERSONA</t>
  </si>
  <si>
    <t>ADMINISTRADOR DE GJAS</t>
  </si>
  <si>
    <t>JEFE DE SEGURIDAD</t>
  </si>
  <si>
    <t>COMPRAS</t>
  </si>
  <si>
    <t>GRANJA</t>
  </si>
  <si>
    <t>GPO ESCOBEDO</t>
  </si>
  <si>
    <t>LLENADO</t>
  </si>
  <si>
    <t xml:space="preserve">DIESEL </t>
  </si>
  <si>
    <t>LT/HR</t>
  </si>
  <si>
    <t>RECAMBIO DIARIO</t>
  </si>
  <si>
    <t>GASTO BOMBAS</t>
  </si>
  <si>
    <t>M3/SEG</t>
  </si>
  <si>
    <t>M3/HR</t>
  </si>
  <si>
    <t>BIOMASA</t>
  </si>
  <si>
    <t>DIA</t>
  </si>
  <si>
    <t>M3</t>
  </si>
  <si>
    <t>BOMBEO HRS/DIA</t>
  </si>
  <si>
    <t>DIESEL</t>
  </si>
  <si>
    <t>COSTO M3 EN RESERV</t>
  </si>
  <si>
    <t>PESOS/M3 AGUA</t>
  </si>
  <si>
    <t>PESOS /HR</t>
  </si>
  <si>
    <t>FECHA</t>
  </si>
  <si>
    <t>EDAD</t>
  </si>
  <si>
    <t>pp</t>
  </si>
  <si>
    <t>ORG/M2</t>
  </si>
  <si>
    <t>KG/HA</t>
  </si>
  <si>
    <t>% REC</t>
  </si>
  <si>
    <t xml:space="preserve">VOLUMEN </t>
  </si>
  <si>
    <t>POR BOMBA</t>
  </si>
  <si>
    <t>LT/SEM</t>
  </si>
  <si>
    <t>LTS ACUM</t>
  </si>
  <si>
    <t>VOL TOTAL</t>
  </si>
  <si>
    <t>PESOS/ME AGUA</t>
  </si>
  <si>
    <t>PROF/ PROM</t>
  </si>
  <si>
    <t>MTS</t>
  </si>
  <si>
    <t>HRS /DIA</t>
  </si>
  <si>
    <t>HRS DIARIA</t>
  </si>
  <si>
    <t>HRS LLENADO</t>
  </si>
  <si>
    <t>% LLENADO SIEMBRA</t>
  </si>
  <si>
    <t>NO DE BOMBAS</t>
  </si>
  <si>
    <t>HRS POR BOMBA</t>
  </si>
  <si>
    <t>DIAS DE BOMBEO</t>
  </si>
  <si>
    <t>HAS DIARIAS</t>
  </si>
  <si>
    <t>PRECIO LT DIESEL</t>
  </si>
  <si>
    <t>PESOS /LT</t>
  </si>
  <si>
    <t>HRS BOMBEADAS</t>
  </si>
  <si>
    <t>LT DIESEL</t>
  </si>
  <si>
    <t>GASTO TOTAL</t>
  </si>
  <si>
    <t>BOMBEO HRS</t>
  </si>
  <si>
    <t>TOTAL PROYECTO DEL AÑO 2025</t>
  </si>
  <si>
    <t>LTS TOTALES</t>
  </si>
  <si>
    <t>LTS/MES</t>
  </si>
  <si>
    <t>$ / MES</t>
  </si>
  <si>
    <t>JAN</t>
  </si>
  <si>
    <t>FEB</t>
  </si>
  <si>
    <t>POR HA</t>
  </si>
  <si>
    <t>DENSIDAD</t>
  </si>
  <si>
    <t>GRUPO ESCOBEDO SEGUNDO CICLO</t>
  </si>
  <si>
    <t>% MORT</t>
  </si>
  <si>
    <t>ALIMENTO</t>
  </si>
  <si>
    <t>PRECOSECHA</t>
  </si>
  <si>
    <t>PREC. ACUM</t>
  </si>
  <si>
    <t>TIPO DE ALIMENTO</t>
  </si>
  <si>
    <t>inc</t>
  </si>
  <si>
    <t>% SOB</t>
  </si>
  <si>
    <t>KHD</t>
  </si>
  <si>
    <t>% BW</t>
  </si>
  <si>
    <t>KILOS/SEM</t>
  </si>
  <si>
    <t>ACUM</t>
  </si>
  <si>
    <t>FCA</t>
  </si>
  <si>
    <t>KG TOT</t>
  </si>
  <si>
    <t>ORG/M TOT</t>
  </si>
  <si>
    <t>KG TOTALES</t>
  </si>
  <si>
    <t>INGRESO</t>
  </si>
  <si>
    <t>APICAMARON RACEWAYS 3</t>
  </si>
  <si>
    <t>APICAMARON RACEWAYS 4</t>
  </si>
  <si>
    <t xml:space="preserve"> DINAMO 35´30 (1.8 mm)</t>
  </si>
  <si>
    <t xml:space="preserve"> DINAMO 35´15 (1.8 mm)</t>
  </si>
  <si>
    <t>PRODUCCIÓN 2DO CICLO</t>
  </si>
  <si>
    <t>ALIM TOTAL</t>
  </si>
  <si>
    <t>PP (GR)</t>
  </si>
  <si>
    <t>KG</t>
  </si>
  <si>
    <t>1R PRECOSECHA</t>
  </si>
  <si>
    <t>$/KG ALIM</t>
  </si>
  <si>
    <t>2DA PRECOSECHA</t>
  </si>
  <si>
    <t>PRECIO MILLAR PL</t>
  </si>
  <si>
    <t>COSECHA FINAL</t>
  </si>
  <si>
    <t>COSTO ALIM</t>
  </si>
  <si>
    <t>COSTO LARVA</t>
  </si>
  <si>
    <t>INGRESO TOT</t>
  </si>
  <si>
    <t>VALOR DLS</t>
  </si>
  <si>
    <t>MEMORIA DE CALCULO 2025 GPO ESCOBEDO</t>
  </si>
  <si>
    <t>DATOS TECNICOS PRIMER CICLO DESEMBOCADEROS 2025</t>
  </si>
  <si>
    <t>DATOS TECNICOS SEGUNDO CICLO GPO ESCOBEDO 2025</t>
  </si>
  <si>
    <t>PROYECTO DE COSTOS DIRECTOS DE PRODUCCION 2025</t>
  </si>
  <si>
    <t>CONCEPTO</t>
  </si>
  <si>
    <t>% DEL COSTO</t>
  </si>
  <si>
    <t>$/KG</t>
  </si>
  <si>
    <t>DENSIDAD SIEMBRA</t>
  </si>
  <si>
    <t>PP PRIMER PREC</t>
  </si>
  <si>
    <t>GR</t>
  </si>
  <si>
    <t>LARVA</t>
  </si>
  <si>
    <t>PP SEGUNDA PREC</t>
  </si>
  <si>
    <t>NOMINA</t>
  </si>
  <si>
    <t>KG PRIMER PREC</t>
  </si>
  <si>
    <t>GASOLINA</t>
  </si>
  <si>
    <t>KG SEG PREC</t>
  </si>
  <si>
    <t>VARIOS</t>
  </si>
  <si>
    <t>KG FINAL</t>
  </si>
  <si>
    <t>PROD TOTAL KG BIOMASA</t>
  </si>
  <si>
    <t>KG /HA 1R PREC</t>
  </si>
  <si>
    <t>PROYECTO DE INGRESOS GPO ESCOBEDO 2025</t>
  </si>
  <si>
    <t>KG /HA 2DA PREC</t>
  </si>
  <si>
    <t>INGRESO TOTAL</t>
  </si>
  <si>
    <t>$/HA</t>
  </si>
  <si>
    <t>KG /HA FINAL</t>
  </si>
  <si>
    <t>PRECOSECHA 1</t>
  </si>
  <si>
    <t>PROD TOTAL/HA</t>
  </si>
  <si>
    <t>PRECOSECHA 2</t>
  </si>
  <si>
    <t>KG TOTALES ALIMENTO</t>
  </si>
  <si>
    <t>PRECIO DLS</t>
  </si>
  <si>
    <t>UTILIDAD SEGUNDO CICLO</t>
  </si>
  <si>
    <t>COSTOS</t>
  </si>
  <si>
    <t>PRECIO UNITARIO</t>
  </si>
  <si>
    <t>INGRESO POR VENTAS</t>
  </si>
  <si>
    <t>UTILIDAD</t>
  </si>
  <si>
    <t>$ UTILIDAD POR KG</t>
  </si>
  <si>
    <t>TIR (POR CICLO)</t>
  </si>
  <si>
    <t>PROYECTO DE INGRESOS TOPO 2025</t>
  </si>
  <si>
    <t>UTILIDAD PRIMER CICLO</t>
  </si>
  <si>
    <t>RESUMEN DE COSTOS DIRECTOS DE PRODUCCION 2025</t>
  </si>
  <si>
    <t>UTILIDAD GENERAL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</si>
</sst>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_-;\-* #,##0_-;_-* &quot;-&quot;??_-;_-@"/>
    <numFmt numFmtId="165" formatCode="0.0"/>
    <numFmt numFmtId="166" formatCode="_-* #,##0.00_-;\-* #,##0.00_-;_-* &quot;-&quot;??_-;_-@"/>
    <numFmt numFmtId="167" formatCode="_-&quot;$&quot;* #,##0.00_-;\-&quot;$&quot;* #,##0.00_-;_-&quot;$&quot;* &quot;-&quot;??_-;_-@"/>
    <numFmt numFmtId="168" formatCode="0.0%"/>
    <numFmt numFmtId="170" formatCode="_-* #,##0.000_-;\-* #,##0.000_-;_-* &quot;-&quot;??_-;_-@"/>
  </numFmts>
  <fonts count="8" x14ac:knownFonts="1">
    <font>
      <sz val="11"/>
      <color rgb="FF000000"/>
      <name val="Calibri"/>
      <scheme val="minor"/>
    </font>
    <font>
      <sz val="11"/>
      <name val="Calibri"/>
    </font>
    <font>
      <b/>
      <sz val="11"/>
      <name val="Calibri"/>
    </font>
    <font>
      <sz val="11"/>
      <name val="Calibri"/>
    </font>
    <font>
      <sz val="11"/>
      <name val="Calibri"/>
    </font>
    <font>
      <b/>
      <sz val="12"/>
      <name val="Calibri"/>
    </font>
    <font>
      <b/>
      <sz val="11"/>
      <color rgb="FFFF0000"/>
      <name val="Calibri"/>
    </font>
    <font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2F3"/>
        <bgColor rgb="FFD9E2F3"/>
      </patternFill>
    </fill>
  </fills>
  <borders count="78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CCCCCC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CCCCCC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72">
    <xf numFmtId="0" fontId="0" fillId="0" borderId="0" xfId="0"/>
    <xf numFmtId="16" fontId="1" fillId="0" borderId="0" xfId="0" applyNumberFormat="1" applyFont="1"/>
    <xf numFmtId="0" fontId="1" fillId="0" borderId="0" xfId="0" applyFont="1" applyAlignment="1">
      <alignment horizontal="center"/>
    </xf>
    <xf numFmtId="0" fontId="1" fillId="0" borderId="0" xfId="0" applyFont="1"/>
    <xf numFmtId="164" fontId="1" fillId="0" borderId="0" xfId="0" applyNumberFormat="1" applyFont="1"/>
    <xf numFmtId="0" fontId="2" fillId="0" borderId="3" xfId="0" applyFont="1" applyBorder="1" applyAlignment="1">
      <alignment horizontal="center" vertical="center" wrapText="1"/>
    </xf>
    <xf numFmtId="0" fontId="2" fillId="0" borderId="6" xfId="0" applyFont="1" applyBorder="1" applyAlignment="1">
      <alignment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/>
    </xf>
    <xf numFmtId="164" fontId="2" fillId="0" borderId="7" xfId="0" applyNumberFormat="1" applyFont="1" applyBorder="1" applyAlignment="1">
      <alignment horizontal="center" vertical="center" wrapText="1"/>
    </xf>
    <xf numFmtId="165" fontId="2" fillId="0" borderId="8" xfId="0" applyNumberFormat="1" applyFont="1" applyBorder="1"/>
    <xf numFmtId="0" fontId="2" fillId="0" borderId="9" xfId="0" applyFont="1" applyBorder="1"/>
    <xf numFmtId="0" fontId="2" fillId="0" borderId="3" xfId="0" applyFont="1" applyBorder="1"/>
    <xf numFmtId="0" fontId="2" fillId="0" borderId="5" xfId="0" applyFont="1" applyBorder="1"/>
    <xf numFmtId="0" fontId="2" fillId="0" borderId="6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164" fontId="2" fillId="0" borderId="6" xfId="0" applyNumberFormat="1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166" fontId="1" fillId="0" borderId="0" xfId="0" applyNumberFormat="1" applyFont="1"/>
    <xf numFmtId="0" fontId="1" fillId="0" borderId="18" xfId="0" applyFont="1" applyBorder="1" applyAlignment="1">
      <alignment horizontal="left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1" fontId="1" fillId="0" borderId="22" xfId="0" applyNumberFormat="1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165" fontId="1" fillId="0" borderId="23" xfId="0" applyNumberFormat="1" applyFont="1" applyBorder="1" applyAlignment="1">
      <alignment horizontal="center"/>
    </xf>
    <xf numFmtId="0" fontId="1" fillId="0" borderId="26" xfId="0" applyFont="1" applyBorder="1" applyAlignment="1">
      <alignment horizontal="left" vertical="center" wrapText="1"/>
    </xf>
    <xf numFmtId="164" fontId="1" fillId="0" borderId="27" xfId="0" applyNumberFormat="1" applyFont="1" applyBorder="1" applyAlignment="1">
      <alignment horizontal="center" vertical="center" wrapText="1"/>
    </xf>
    <xf numFmtId="164" fontId="1" fillId="0" borderId="24" xfId="0" applyNumberFormat="1" applyFont="1" applyBorder="1" applyAlignment="1">
      <alignment horizontal="center" vertical="center" wrapText="1"/>
    </xf>
    <xf numFmtId="164" fontId="1" fillId="0" borderId="28" xfId="0" applyNumberFormat="1" applyFont="1" applyBorder="1"/>
    <xf numFmtId="164" fontId="1" fillId="0" borderId="24" xfId="0" applyNumberFormat="1" applyFont="1" applyBorder="1" applyAlignment="1">
      <alignment horizontal="center"/>
    </xf>
    <xf numFmtId="164" fontId="1" fillId="0" borderId="23" xfId="0" applyNumberFormat="1" applyFont="1" applyBorder="1" applyAlignment="1">
      <alignment horizontal="center"/>
    </xf>
    <xf numFmtId="0" fontId="1" fillId="0" borderId="29" xfId="0" applyFont="1" applyBorder="1"/>
    <xf numFmtId="164" fontId="1" fillId="0" borderId="30" xfId="0" applyNumberFormat="1" applyFont="1" applyBorder="1"/>
    <xf numFmtId="166" fontId="1" fillId="0" borderId="31" xfId="0" applyNumberFormat="1" applyFont="1" applyBorder="1"/>
    <xf numFmtId="164" fontId="1" fillId="0" borderId="19" xfId="0" applyNumberFormat="1" applyFont="1" applyBorder="1"/>
    <xf numFmtId="164" fontId="1" fillId="0" borderId="21" xfId="0" applyNumberFormat="1" applyFont="1" applyBorder="1"/>
    <xf numFmtId="0" fontId="1" fillId="0" borderId="32" xfId="0" applyFont="1" applyBorder="1" applyAlignment="1">
      <alignment horizontal="center" vertical="center" wrapText="1"/>
    </xf>
    <xf numFmtId="0" fontId="1" fillId="0" borderId="33" xfId="0" applyFont="1" applyBorder="1" applyAlignment="1">
      <alignment horizontal="center" vertical="center" wrapText="1"/>
    </xf>
    <xf numFmtId="0" fontId="1" fillId="0" borderId="34" xfId="0" applyFont="1" applyBorder="1" applyAlignment="1">
      <alignment horizontal="center" vertical="center" wrapText="1"/>
    </xf>
    <xf numFmtId="165" fontId="1" fillId="0" borderId="24" xfId="0" applyNumberFormat="1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1" fillId="0" borderId="33" xfId="0" applyFont="1" applyBorder="1" applyAlignment="1">
      <alignment horizontal="center"/>
    </xf>
    <xf numFmtId="0" fontId="1" fillId="0" borderId="34" xfId="0" applyFont="1" applyBorder="1" applyAlignment="1">
      <alignment horizontal="center"/>
    </xf>
    <xf numFmtId="165" fontId="1" fillId="0" borderId="25" xfId="0" applyNumberFormat="1" applyFont="1" applyBorder="1" applyAlignment="1">
      <alignment horizontal="center"/>
    </xf>
    <xf numFmtId="165" fontId="1" fillId="0" borderId="22" xfId="0" applyNumberFormat="1" applyFont="1" applyBorder="1" applyAlignment="1">
      <alignment horizontal="center"/>
    </xf>
    <xf numFmtId="0" fontId="1" fillId="0" borderId="35" xfId="0" applyFont="1" applyBorder="1"/>
    <xf numFmtId="164" fontId="1" fillId="0" borderId="36" xfId="0" applyNumberFormat="1" applyFont="1" applyBorder="1"/>
    <xf numFmtId="166" fontId="1" fillId="0" borderId="37" xfId="0" applyNumberFormat="1" applyFont="1" applyBorder="1"/>
    <xf numFmtId="164" fontId="1" fillId="0" borderId="32" xfId="0" applyNumberFormat="1" applyFont="1" applyBorder="1"/>
    <xf numFmtId="164" fontId="1" fillId="0" borderId="34" xfId="0" applyNumberFormat="1" applyFont="1" applyBorder="1"/>
    <xf numFmtId="0" fontId="1" fillId="0" borderId="38" xfId="0" applyFont="1" applyBorder="1" applyAlignment="1">
      <alignment horizontal="left" vertical="center" wrapText="1"/>
    </xf>
    <xf numFmtId="0" fontId="1" fillId="0" borderId="39" xfId="0" applyFont="1" applyBorder="1" applyAlignment="1">
      <alignment horizontal="left" vertical="center" wrapText="1"/>
    </xf>
    <xf numFmtId="164" fontId="1" fillId="0" borderId="32" xfId="0" applyNumberFormat="1" applyFont="1" applyBorder="1" applyAlignment="1">
      <alignment horizontal="center" vertical="center" wrapText="1"/>
    </xf>
    <xf numFmtId="165" fontId="1" fillId="0" borderId="40" xfId="0" applyNumberFormat="1" applyFont="1" applyBorder="1" applyAlignment="1">
      <alignment horizontal="center"/>
    </xf>
    <xf numFmtId="165" fontId="1" fillId="0" borderId="41" xfId="0" applyNumberFormat="1" applyFont="1" applyBorder="1" applyAlignment="1">
      <alignment horizontal="center"/>
    </xf>
    <xf numFmtId="165" fontId="1" fillId="0" borderId="35" xfId="0" applyNumberFormat="1" applyFont="1" applyBorder="1" applyAlignment="1">
      <alignment horizontal="center"/>
    </xf>
    <xf numFmtId="0" fontId="2" fillId="0" borderId="0" xfId="0" applyFont="1"/>
    <xf numFmtId="0" fontId="1" fillId="0" borderId="42" xfId="0" applyFont="1" applyBorder="1"/>
    <xf numFmtId="164" fontId="1" fillId="0" borderId="43" xfId="0" applyNumberFormat="1" applyFont="1" applyBorder="1"/>
    <xf numFmtId="166" fontId="1" fillId="0" borderId="44" xfId="0" applyNumberFormat="1" applyFont="1" applyBorder="1"/>
    <xf numFmtId="164" fontId="1" fillId="0" borderId="45" xfId="0" applyNumberFormat="1" applyFont="1" applyBorder="1"/>
    <xf numFmtId="164" fontId="1" fillId="0" borderId="46" xfId="0" applyNumberFormat="1" applyFont="1" applyBorder="1"/>
    <xf numFmtId="0" fontId="2" fillId="0" borderId="6" xfId="0" applyFont="1" applyBorder="1"/>
    <xf numFmtId="0" fontId="2" fillId="0" borderId="23" xfId="0" applyFont="1" applyBorder="1"/>
    <xf numFmtId="0" fontId="1" fillId="0" borderId="47" xfId="0" applyFont="1" applyBorder="1"/>
    <xf numFmtId="0" fontId="1" fillId="0" borderId="48" xfId="0" applyFont="1" applyBorder="1"/>
    <xf numFmtId="164" fontId="2" fillId="0" borderId="23" xfId="0" applyNumberFormat="1" applyFont="1" applyBorder="1"/>
    <xf numFmtId="166" fontId="2" fillId="0" borderId="23" xfId="0" applyNumberFormat="1" applyFont="1" applyBorder="1"/>
    <xf numFmtId="0" fontId="1" fillId="0" borderId="45" xfId="0" applyFont="1" applyBorder="1" applyAlignment="1">
      <alignment horizontal="center" vertical="center" wrapText="1"/>
    </xf>
    <xf numFmtId="0" fontId="1" fillId="0" borderId="49" xfId="0" applyFont="1" applyBorder="1" applyAlignment="1">
      <alignment horizontal="center" vertical="center" wrapText="1"/>
    </xf>
    <xf numFmtId="0" fontId="1" fillId="0" borderId="46" xfId="0" applyFont="1" applyBorder="1" applyAlignment="1">
      <alignment horizontal="center" vertical="center" wrapText="1"/>
    </xf>
    <xf numFmtId="1" fontId="1" fillId="0" borderId="50" xfId="0" applyNumberFormat="1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165" fontId="1" fillId="0" borderId="28" xfId="0" applyNumberFormat="1" applyFont="1" applyBorder="1" applyAlignment="1">
      <alignment horizontal="center"/>
    </xf>
    <xf numFmtId="165" fontId="1" fillId="0" borderId="51" xfId="0" applyNumberFormat="1" applyFont="1" applyBorder="1" applyAlignment="1">
      <alignment horizontal="center"/>
    </xf>
    <xf numFmtId="0" fontId="1" fillId="0" borderId="52" xfId="0" applyFont="1" applyBorder="1" applyAlignment="1">
      <alignment horizontal="center" vertical="center" wrapText="1"/>
    </xf>
    <xf numFmtId="0" fontId="1" fillId="0" borderId="53" xfId="0" applyFont="1" applyBorder="1" applyAlignment="1">
      <alignment horizontal="center" vertical="center" wrapText="1"/>
    </xf>
    <xf numFmtId="0" fontId="1" fillId="0" borderId="54" xfId="0" applyFont="1" applyBorder="1" applyAlignment="1">
      <alignment horizontal="center" vertical="center" wrapText="1"/>
    </xf>
    <xf numFmtId="0" fontId="2" fillId="0" borderId="35" xfId="0" applyFont="1" applyBorder="1"/>
    <xf numFmtId="0" fontId="1" fillId="0" borderId="36" xfId="0" applyFont="1" applyBorder="1"/>
    <xf numFmtId="0" fontId="1" fillId="0" borderId="37" xfId="0" applyFont="1" applyBorder="1"/>
    <xf numFmtId="166" fontId="2" fillId="0" borderId="35" xfId="0" applyNumberFormat="1" applyFont="1" applyBorder="1"/>
    <xf numFmtId="0" fontId="1" fillId="0" borderId="6" xfId="0" applyFont="1" applyBorder="1" applyAlignment="1">
      <alignment horizontal="left" vertical="center" wrapText="1"/>
    </xf>
    <xf numFmtId="0" fontId="2" fillId="0" borderId="55" xfId="0" applyFont="1" applyBorder="1" applyAlignment="1">
      <alignment horizontal="center"/>
    </xf>
    <xf numFmtId="0" fontId="2" fillId="0" borderId="56" xfId="0" applyFont="1" applyBorder="1" applyAlignment="1">
      <alignment horizontal="center"/>
    </xf>
    <xf numFmtId="0" fontId="2" fillId="0" borderId="57" xfId="0" applyFont="1" applyBorder="1" applyAlignment="1">
      <alignment horizontal="center"/>
    </xf>
    <xf numFmtId="1" fontId="1" fillId="0" borderId="29" xfId="0" applyNumberFormat="1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165" fontId="1" fillId="0" borderId="29" xfId="0" applyNumberFormat="1" applyFont="1" applyBorder="1" applyAlignment="1">
      <alignment horizontal="center"/>
    </xf>
    <xf numFmtId="0" fontId="2" fillId="0" borderId="58" xfId="0" applyFont="1" applyBorder="1" applyAlignment="1">
      <alignment horizontal="center"/>
    </xf>
    <xf numFmtId="0" fontId="2" fillId="0" borderId="59" xfId="0" applyFont="1" applyBorder="1" applyAlignment="1">
      <alignment horizontal="center"/>
    </xf>
    <xf numFmtId="165" fontId="2" fillId="0" borderId="6" xfId="0" applyNumberFormat="1" applyFont="1" applyBorder="1" applyAlignment="1">
      <alignment horizontal="center"/>
    </xf>
    <xf numFmtId="164" fontId="2" fillId="0" borderId="13" xfId="0" applyNumberFormat="1" applyFont="1" applyBorder="1" applyAlignment="1">
      <alignment horizontal="center"/>
    </xf>
    <xf numFmtId="164" fontId="2" fillId="0" borderId="3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42" xfId="0" applyFont="1" applyBorder="1"/>
    <xf numFmtId="0" fontId="1" fillId="0" borderId="43" xfId="0" applyFont="1" applyBorder="1"/>
    <xf numFmtId="0" fontId="1" fillId="0" borderId="44" xfId="0" applyFont="1" applyBorder="1"/>
    <xf numFmtId="166" fontId="2" fillId="0" borderId="42" xfId="0" applyNumberFormat="1" applyFont="1" applyBorder="1"/>
    <xf numFmtId="166" fontId="1" fillId="0" borderId="6" xfId="0" applyNumberFormat="1" applyFont="1" applyBorder="1" applyAlignment="1">
      <alignment horizontal="left" vertical="center" wrapText="1"/>
    </xf>
    <xf numFmtId="166" fontId="2" fillId="0" borderId="13" xfId="0" applyNumberFormat="1" applyFont="1" applyBorder="1" applyAlignment="1">
      <alignment horizontal="center"/>
    </xf>
    <xf numFmtId="166" fontId="2" fillId="0" borderId="14" xfId="0" applyNumberFormat="1" applyFont="1" applyBorder="1" applyAlignment="1">
      <alignment horizontal="center"/>
    </xf>
    <xf numFmtId="166" fontId="2" fillId="0" borderId="15" xfId="0" applyNumberFormat="1" applyFont="1" applyBorder="1" applyAlignment="1">
      <alignment horizontal="center"/>
    </xf>
    <xf numFmtId="1" fontId="1" fillId="0" borderId="60" xfId="0" applyNumberFormat="1" applyFont="1" applyBorder="1" applyAlignment="1">
      <alignment horizontal="center"/>
    </xf>
    <xf numFmtId="166" fontId="2" fillId="0" borderId="16" xfId="0" applyNumberFormat="1" applyFont="1" applyBorder="1" applyAlignment="1">
      <alignment horizontal="center"/>
    </xf>
    <xf numFmtId="166" fontId="2" fillId="0" borderId="17" xfId="0" applyNumberFormat="1" applyFont="1" applyBorder="1" applyAlignment="1">
      <alignment horizontal="center"/>
    </xf>
    <xf numFmtId="0" fontId="1" fillId="0" borderId="60" xfId="0" applyFont="1" applyBorder="1" applyAlignment="1">
      <alignment horizontal="center"/>
    </xf>
    <xf numFmtId="165" fontId="1" fillId="0" borderId="60" xfId="0" applyNumberFormat="1" applyFont="1" applyBorder="1" applyAlignment="1">
      <alignment horizontal="center"/>
    </xf>
    <xf numFmtId="164" fontId="2" fillId="0" borderId="0" xfId="0" applyNumberFormat="1" applyFont="1" applyAlignment="1">
      <alignment horizontal="center"/>
    </xf>
    <xf numFmtId="164" fontId="2" fillId="0" borderId="4" xfId="0" applyNumberFormat="1" applyFont="1" applyBorder="1" applyAlignment="1">
      <alignment horizontal="center"/>
    </xf>
    <xf numFmtId="0" fontId="1" fillId="0" borderId="39" xfId="0" applyFont="1" applyBorder="1" applyAlignment="1">
      <alignment horizontal="center" vertical="center" wrapText="1"/>
    </xf>
    <xf numFmtId="0" fontId="1" fillId="0" borderId="33" xfId="0" applyFont="1" applyBorder="1"/>
    <xf numFmtId="0" fontId="1" fillId="0" borderId="34" xfId="0" applyFont="1" applyBorder="1"/>
    <xf numFmtId="0" fontId="1" fillId="0" borderId="40" xfId="0" applyFont="1" applyBorder="1"/>
    <xf numFmtId="0" fontId="1" fillId="0" borderId="32" xfId="0" applyFont="1" applyBorder="1"/>
    <xf numFmtId="164" fontId="1" fillId="0" borderId="40" xfId="0" applyNumberFormat="1" applyFont="1" applyBorder="1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4" fillId="0" borderId="0" xfId="0" applyFont="1"/>
    <xf numFmtId="15" fontId="1" fillId="0" borderId="0" xfId="0" applyNumberFormat="1" applyFont="1"/>
    <xf numFmtId="0" fontId="2" fillId="0" borderId="3" xfId="0" applyFont="1" applyBorder="1" applyAlignment="1">
      <alignment horizontal="center"/>
    </xf>
    <xf numFmtId="0" fontId="1" fillId="0" borderId="61" xfId="0" applyFont="1" applyBorder="1"/>
    <xf numFmtId="166" fontId="4" fillId="0" borderId="0" xfId="0" applyNumberFormat="1" applyFont="1"/>
    <xf numFmtId="0" fontId="5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166" fontId="2" fillId="0" borderId="4" xfId="0" applyNumberFormat="1" applyFont="1" applyBorder="1" applyAlignment="1">
      <alignment horizontal="center"/>
    </xf>
    <xf numFmtId="0" fontId="2" fillId="0" borderId="13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166" fontId="2" fillId="0" borderId="4" xfId="0" applyNumberFormat="1" applyFont="1" applyBorder="1"/>
    <xf numFmtId="166" fontId="2" fillId="0" borderId="9" xfId="0" applyNumberFormat="1" applyFont="1" applyBorder="1" applyAlignment="1">
      <alignment horizontal="center"/>
    </xf>
    <xf numFmtId="0" fontId="2" fillId="0" borderId="12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3" fontId="1" fillId="0" borderId="0" xfId="0" applyNumberFormat="1" applyFont="1"/>
    <xf numFmtId="15" fontId="1" fillId="0" borderId="19" xfId="0" applyNumberFormat="1" applyFont="1" applyBorder="1" applyAlignment="1">
      <alignment horizontal="center" vertical="center"/>
    </xf>
    <xf numFmtId="0" fontId="1" fillId="0" borderId="20" xfId="0" applyFont="1" applyBorder="1"/>
    <xf numFmtId="166" fontId="1" fillId="0" borderId="20" xfId="0" applyNumberFormat="1" applyFont="1" applyBorder="1"/>
    <xf numFmtId="166" fontId="1" fillId="0" borderId="29" xfId="0" applyNumberFormat="1" applyFont="1" applyBorder="1"/>
    <xf numFmtId="166" fontId="1" fillId="0" borderId="30" xfId="0" applyNumberFormat="1" applyFont="1" applyBorder="1" applyAlignment="1">
      <alignment horizontal="center" vertical="center"/>
    </xf>
    <xf numFmtId="166" fontId="1" fillId="0" borderId="31" xfId="0" applyNumberFormat="1" applyFont="1" applyBorder="1" applyAlignment="1">
      <alignment horizontal="center" vertical="center"/>
    </xf>
    <xf numFmtId="166" fontId="1" fillId="0" borderId="62" xfId="0" applyNumberFormat="1" applyFont="1" applyBorder="1" applyAlignment="1">
      <alignment horizontal="center" vertical="center"/>
    </xf>
    <xf numFmtId="166" fontId="1" fillId="0" borderId="29" xfId="0" applyNumberFormat="1" applyFont="1" applyBorder="1" applyAlignment="1">
      <alignment horizontal="center" vertical="center"/>
    </xf>
    <xf numFmtId="166" fontId="1" fillId="0" borderId="30" xfId="0" applyNumberFormat="1" applyFont="1" applyBorder="1"/>
    <xf numFmtId="166" fontId="1" fillId="0" borderId="21" xfId="0" applyNumberFormat="1" applyFont="1" applyBorder="1"/>
    <xf numFmtId="0" fontId="2" fillId="0" borderId="0" xfId="0" applyFont="1" applyAlignment="1">
      <alignment horizontal="center" vertical="center"/>
    </xf>
    <xf numFmtId="15" fontId="1" fillId="0" borderId="32" xfId="0" applyNumberFormat="1" applyFont="1" applyBorder="1" applyAlignment="1">
      <alignment horizontal="center" vertical="center"/>
    </xf>
    <xf numFmtId="164" fontId="1" fillId="0" borderId="33" xfId="0" applyNumberFormat="1" applyFont="1" applyBorder="1"/>
    <xf numFmtId="166" fontId="1" fillId="0" borderId="33" xfId="0" applyNumberFormat="1" applyFont="1" applyBorder="1"/>
    <xf numFmtId="166" fontId="1" fillId="0" borderId="35" xfId="0" applyNumberFormat="1" applyFont="1" applyBorder="1"/>
    <xf numFmtId="166" fontId="1" fillId="0" borderId="36" xfId="0" applyNumberFormat="1" applyFont="1" applyBorder="1" applyAlignment="1">
      <alignment horizontal="center" vertical="center"/>
    </xf>
    <xf numFmtId="166" fontId="1" fillId="0" borderId="48" xfId="0" applyNumberFormat="1" applyFont="1" applyBorder="1" applyAlignment="1">
      <alignment horizontal="center" vertical="center"/>
    </xf>
    <xf numFmtId="166" fontId="1" fillId="0" borderId="63" xfId="0" applyNumberFormat="1" applyFont="1" applyBorder="1" applyAlignment="1">
      <alignment horizontal="center" vertical="center"/>
    </xf>
    <xf numFmtId="166" fontId="1" fillId="0" borderId="35" xfId="0" applyNumberFormat="1" applyFont="1" applyBorder="1" applyAlignment="1">
      <alignment horizontal="center" vertical="center"/>
    </xf>
    <xf numFmtId="166" fontId="1" fillId="0" borderId="36" xfId="0" applyNumberFormat="1" applyFont="1" applyBorder="1"/>
    <xf numFmtId="166" fontId="1" fillId="0" borderId="34" xfId="0" applyNumberFormat="1" applyFont="1" applyBorder="1"/>
    <xf numFmtId="166" fontId="1" fillId="0" borderId="47" xfId="0" applyNumberFormat="1" applyFont="1" applyBorder="1" applyAlignment="1">
      <alignment horizontal="center" vertical="center"/>
    </xf>
    <xf numFmtId="9" fontId="1" fillId="0" borderId="0" xfId="0" applyNumberFormat="1" applyFont="1"/>
    <xf numFmtId="0" fontId="2" fillId="0" borderId="0" xfId="0" applyFont="1" applyAlignment="1">
      <alignment horizontal="center"/>
    </xf>
    <xf numFmtId="165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164" fontId="1" fillId="0" borderId="37" xfId="0" applyNumberFormat="1" applyFont="1" applyBorder="1"/>
    <xf numFmtId="15" fontId="1" fillId="0" borderId="45" xfId="0" applyNumberFormat="1" applyFont="1" applyBorder="1" applyAlignment="1">
      <alignment horizontal="center" vertical="center"/>
    </xf>
    <xf numFmtId="164" fontId="1" fillId="0" borderId="44" xfId="0" applyNumberFormat="1" applyFont="1" applyBorder="1"/>
    <xf numFmtId="166" fontId="1" fillId="0" borderId="49" xfId="0" applyNumberFormat="1" applyFont="1" applyBorder="1"/>
    <xf numFmtId="166" fontId="1" fillId="0" borderId="42" xfId="0" applyNumberFormat="1" applyFont="1" applyBorder="1"/>
    <xf numFmtId="166" fontId="1" fillId="0" borderId="43" xfId="0" applyNumberFormat="1" applyFont="1" applyBorder="1" applyAlignment="1">
      <alignment horizontal="center" vertical="center"/>
    </xf>
    <xf numFmtId="166" fontId="1" fillId="0" borderId="59" xfId="0" applyNumberFormat="1" applyFont="1" applyBorder="1" applyAlignment="1">
      <alignment horizontal="center" vertical="center"/>
    </xf>
    <xf numFmtId="166" fontId="1" fillId="0" borderId="64" xfId="0" applyNumberFormat="1" applyFont="1" applyBorder="1" applyAlignment="1">
      <alignment horizontal="center" vertical="center"/>
    </xf>
    <xf numFmtId="166" fontId="1" fillId="0" borderId="42" xfId="0" applyNumberFormat="1" applyFont="1" applyBorder="1" applyAlignment="1">
      <alignment horizontal="center" vertical="center"/>
    </xf>
    <xf numFmtId="166" fontId="1" fillId="0" borderId="43" xfId="0" applyNumberFormat="1" applyFont="1" applyBorder="1"/>
    <xf numFmtId="166" fontId="1" fillId="0" borderId="46" xfId="0" applyNumberFormat="1" applyFont="1" applyBorder="1"/>
    <xf numFmtId="166" fontId="1" fillId="0" borderId="60" xfId="0" applyNumberFormat="1" applyFont="1" applyBorder="1"/>
    <xf numFmtId="0" fontId="2" fillId="0" borderId="5" xfId="0" applyFont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1" fillId="0" borderId="27" xfId="0" applyFont="1" applyBorder="1" applyAlignment="1">
      <alignment horizontal="left" vertical="center"/>
    </xf>
    <xf numFmtId="166" fontId="1" fillId="0" borderId="65" xfId="0" applyNumberFormat="1" applyFont="1" applyBorder="1"/>
    <xf numFmtId="0" fontId="1" fillId="0" borderId="45" xfId="0" applyFont="1" applyBorder="1"/>
    <xf numFmtId="0" fontId="1" fillId="0" borderId="3" xfId="0" applyFont="1" applyBorder="1"/>
    <xf numFmtId="0" fontId="2" fillId="0" borderId="14" xfId="0" applyFont="1" applyBorder="1"/>
    <xf numFmtId="0" fontId="2" fillId="0" borderId="15" xfId="0" applyFont="1" applyBorder="1"/>
    <xf numFmtId="0" fontId="1" fillId="0" borderId="27" xfId="0" applyFont="1" applyBorder="1"/>
    <xf numFmtId="0" fontId="1" fillId="0" borderId="66" xfId="0" applyFont="1" applyBorder="1"/>
    <xf numFmtId="0" fontId="1" fillId="0" borderId="65" xfId="0" applyFont="1" applyBorder="1"/>
    <xf numFmtId="0" fontId="1" fillId="0" borderId="54" xfId="0" applyFont="1" applyBorder="1"/>
    <xf numFmtId="0" fontId="1" fillId="0" borderId="67" xfId="0" applyFont="1" applyBorder="1"/>
    <xf numFmtId="0" fontId="1" fillId="0" borderId="68" xfId="0" applyFont="1" applyBorder="1"/>
    <xf numFmtId="0" fontId="2" fillId="0" borderId="8" xfId="0" applyFont="1" applyBorder="1"/>
    <xf numFmtId="166" fontId="2" fillId="0" borderId="7" xfId="0" applyNumberFormat="1" applyFont="1" applyBorder="1"/>
    <xf numFmtId="166" fontId="2" fillId="0" borderId="61" xfId="0" applyNumberFormat="1" applyFont="1" applyBorder="1"/>
    <xf numFmtId="166" fontId="2" fillId="0" borderId="6" xfId="0" applyNumberFormat="1" applyFont="1" applyBorder="1"/>
    <xf numFmtId="166" fontId="2" fillId="0" borderId="5" xfId="0" applyNumberFormat="1" applyFont="1" applyBorder="1"/>
    <xf numFmtId="0" fontId="1" fillId="0" borderId="0" xfId="0" applyFont="1" applyAlignment="1">
      <alignment horizontal="left"/>
    </xf>
    <xf numFmtId="166" fontId="1" fillId="0" borderId="0" xfId="0" applyNumberFormat="1" applyFont="1" applyAlignment="1">
      <alignment horizontal="center" vertical="center"/>
    </xf>
    <xf numFmtId="0" fontId="2" fillId="0" borderId="12" xfId="0" applyFont="1" applyBorder="1" applyAlignment="1">
      <alignment horizontal="center"/>
    </xf>
    <xf numFmtId="0" fontId="2" fillId="0" borderId="0" xfId="0" applyFont="1" applyAlignment="1">
      <alignment horizontal="left"/>
    </xf>
    <xf numFmtId="167" fontId="2" fillId="0" borderId="0" xfId="0" applyNumberFormat="1" applyFont="1"/>
    <xf numFmtId="166" fontId="2" fillId="0" borderId="3" xfId="0" applyNumberFormat="1" applyFont="1" applyBorder="1" applyAlignment="1">
      <alignment horizontal="center"/>
    </xf>
    <xf numFmtId="0" fontId="2" fillId="0" borderId="45" xfId="0" applyFont="1" applyBorder="1"/>
    <xf numFmtId="0" fontId="2" fillId="0" borderId="46" xfId="0" applyFont="1" applyBorder="1"/>
    <xf numFmtId="165" fontId="2" fillId="0" borderId="0" xfId="0" applyNumberFormat="1" applyFont="1" applyAlignment="1">
      <alignment horizontal="center"/>
    </xf>
    <xf numFmtId="0" fontId="5" fillId="0" borderId="3" xfId="0" applyFont="1" applyBorder="1" applyAlignment="1">
      <alignment horizontal="left"/>
    </xf>
    <xf numFmtId="166" fontId="6" fillId="0" borderId="3" xfId="0" applyNumberFormat="1" applyFont="1" applyBorder="1" applyAlignment="1">
      <alignment horizontal="center"/>
    </xf>
    <xf numFmtId="166" fontId="6" fillId="0" borderId="5" xfId="0" applyNumberFormat="1" applyFont="1" applyBorder="1" applyAlignment="1">
      <alignment horizontal="center"/>
    </xf>
    <xf numFmtId="0" fontId="1" fillId="0" borderId="9" xfId="0" applyFont="1" applyBorder="1"/>
    <xf numFmtId="0" fontId="2" fillId="0" borderId="8" xfId="0" applyFont="1" applyBorder="1" applyAlignment="1">
      <alignment horizontal="center"/>
    </xf>
    <xf numFmtId="0" fontId="2" fillId="0" borderId="7" xfId="0" applyFont="1" applyBorder="1" applyAlignment="1">
      <alignment horizontal="left" vertical="center"/>
    </xf>
    <xf numFmtId="0" fontId="2" fillId="0" borderId="10" xfId="0" applyFont="1" applyBorder="1" applyAlignment="1">
      <alignment horizontal="center" vertical="center"/>
    </xf>
    <xf numFmtId="0" fontId="2" fillId="0" borderId="9" xfId="0" applyFont="1" applyBorder="1" applyAlignment="1">
      <alignment horizontal="center"/>
    </xf>
    <xf numFmtId="166" fontId="2" fillId="0" borderId="0" xfId="0" applyNumberFormat="1" applyFont="1" applyAlignment="1">
      <alignment horizontal="center"/>
    </xf>
    <xf numFmtId="0" fontId="2" fillId="0" borderId="8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166" fontId="2" fillId="0" borderId="10" xfId="0" applyNumberFormat="1" applyFont="1" applyBorder="1" applyAlignment="1">
      <alignment horizontal="center" vertical="center"/>
    </xf>
    <xf numFmtId="166" fontId="2" fillId="0" borderId="8" xfId="0" applyNumberFormat="1" applyFont="1" applyBorder="1" applyAlignment="1">
      <alignment horizontal="center" vertical="center"/>
    </xf>
    <xf numFmtId="15" fontId="1" fillId="0" borderId="30" xfId="0" applyNumberFormat="1" applyFont="1" applyBorder="1" applyAlignment="1">
      <alignment horizontal="center" vertical="center"/>
    </xf>
    <xf numFmtId="166" fontId="1" fillId="0" borderId="20" xfId="0" applyNumberFormat="1" applyFont="1" applyBorder="1" applyAlignment="1">
      <alignment horizontal="center" vertical="center"/>
    </xf>
    <xf numFmtId="168" fontId="1" fillId="0" borderId="20" xfId="0" applyNumberFormat="1" applyFont="1" applyBorder="1" applyAlignment="1">
      <alignment horizontal="center" vertical="center"/>
    </xf>
    <xf numFmtId="3" fontId="1" fillId="0" borderId="20" xfId="0" applyNumberFormat="1" applyFont="1" applyBorder="1" applyAlignment="1">
      <alignment horizontal="center" vertical="center"/>
    </xf>
    <xf numFmtId="166" fontId="1" fillId="0" borderId="19" xfId="0" applyNumberFormat="1" applyFont="1" applyBorder="1" applyAlignment="1">
      <alignment horizontal="center" vertical="center"/>
    </xf>
    <xf numFmtId="166" fontId="1" fillId="0" borderId="21" xfId="0" applyNumberFormat="1" applyFont="1" applyBorder="1" applyAlignment="1">
      <alignment horizontal="center" vertical="center"/>
    </xf>
    <xf numFmtId="166" fontId="1" fillId="0" borderId="22" xfId="0" applyNumberFormat="1" applyFont="1" applyBorder="1" applyAlignment="1">
      <alignment horizontal="center" vertical="center"/>
    </xf>
    <xf numFmtId="0" fontId="1" fillId="0" borderId="23" xfId="0" applyFont="1" applyBorder="1"/>
    <xf numFmtId="15" fontId="1" fillId="0" borderId="36" xfId="0" applyNumberFormat="1" applyFont="1" applyBorder="1" applyAlignment="1">
      <alignment horizontal="center" vertical="center"/>
    </xf>
    <xf numFmtId="166" fontId="1" fillId="0" borderId="33" xfId="0" applyNumberFormat="1" applyFont="1" applyBorder="1" applyAlignment="1">
      <alignment horizontal="center" vertical="center"/>
    </xf>
    <xf numFmtId="168" fontId="1" fillId="0" borderId="33" xfId="0" applyNumberFormat="1" applyFont="1" applyBorder="1" applyAlignment="1">
      <alignment horizontal="center" vertical="center"/>
    </xf>
    <xf numFmtId="3" fontId="1" fillId="0" borderId="33" xfId="0" applyNumberFormat="1" applyFont="1" applyBorder="1" applyAlignment="1">
      <alignment horizontal="center" vertical="center"/>
    </xf>
    <xf numFmtId="166" fontId="1" fillId="0" borderId="37" xfId="0" applyNumberFormat="1" applyFont="1" applyBorder="1" applyAlignment="1">
      <alignment horizontal="center" vertical="center"/>
    </xf>
    <xf numFmtId="166" fontId="1" fillId="0" borderId="32" xfId="0" applyNumberFormat="1" applyFont="1" applyBorder="1" applyAlignment="1">
      <alignment horizontal="center" vertical="center"/>
    </xf>
    <xf numFmtId="164" fontId="1" fillId="0" borderId="34" xfId="0" applyNumberFormat="1" applyFont="1" applyBorder="1" applyAlignment="1">
      <alignment horizontal="center" vertical="center"/>
    </xf>
    <xf numFmtId="166" fontId="1" fillId="0" borderId="41" xfId="0" applyNumberFormat="1" applyFont="1" applyBorder="1" applyAlignment="1">
      <alignment horizontal="center" vertical="center"/>
    </xf>
    <xf numFmtId="0" fontId="1" fillId="0" borderId="35" xfId="0" applyFont="1" applyBorder="1" applyAlignment="1">
      <alignment horizontal="left" vertical="center"/>
    </xf>
    <xf numFmtId="15" fontId="1" fillId="0" borderId="53" xfId="0" applyNumberFormat="1" applyFont="1" applyBorder="1" applyAlignment="1">
      <alignment horizontal="center" vertical="center"/>
    </xf>
    <xf numFmtId="164" fontId="1" fillId="0" borderId="67" xfId="0" applyNumberFormat="1" applyFont="1" applyBorder="1"/>
    <xf numFmtId="166" fontId="1" fillId="0" borderId="67" xfId="0" applyNumberFormat="1" applyFont="1" applyBorder="1"/>
    <xf numFmtId="166" fontId="1" fillId="0" borderId="70" xfId="0" applyNumberFormat="1" applyFont="1" applyBorder="1"/>
    <xf numFmtId="166" fontId="1" fillId="0" borderId="53" xfId="0" applyNumberFormat="1" applyFont="1" applyBorder="1"/>
    <xf numFmtId="166" fontId="1" fillId="0" borderId="67" xfId="0" applyNumberFormat="1" applyFont="1" applyBorder="1" applyAlignment="1">
      <alignment horizontal="center" vertical="center"/>
    </xf>
    <xf numFmtId="3" fontId="1" fillId="0" borderId="67" xfId="0" applyNumberFormat="1" applyFont="1" applyBorder="1" applyAlignment="1">
      <alignment horizontal="center" vertical="center"/>
    </xf>
    <xf numFmtId="166" fontId="1" fillId="0" borderId="70" xfId="0" applyNumberFormat="1" applyFont="1" applyBorder="1" applyAlignment="1">
      <alignment horizontal="center" vertical="center"/>
    </xf>
    <xf numFmtId="166" fontId="1" fillId="0" borderId="71" xfId="0" applyNumberFormat="1" applyFont="1" applyBorder="1" applyAlignment="1">
      <alignment horizontal="center" vertical="center"/>
    </xf>
    <xf numFmtId="0" fontId="1" fillId="0" borderId="42" xfId="0" applyFont="1" applyBorder="1" applyAlignment="1">
      <alignment horizontal="left" vertical="center"/>
    </xf>
    <xf numFmtId="15" fontId="1" fillId="0" borderId="43" xfId="0" applyNumberFormat="1" applyFont="1" applyBorder="1" applyAlignment="1">
      <alignment horizontal="center" vertical="center"/>
    </xf>
    <xf numFmtId="164" fontId="1" fillId="0" borderId="49" xfId="0" applyNumberFormat="1" applyFont="1" applyBorder="1"/>
    <xf numFmtId="166" fontId="1" fillId="0" borderId="49" xfId="0" applyNumberFormat="1" applyFont="1" applyBorder="1" applyAlignment="1">
      <alignment horizontal="center" vertical="center"/>
    </xf>
    <xf numFmtId="3" fontId="1" fillId="0" borderId="49" xfId="0" applyNumberFormat="1" applyFont="1" applyBorder="1" applyAlignment="1">
      <alignment horizontal="center" vertical="center"/>
    </xf>
    <xf numFmtId="166" fontId="1" fillId="0" borderId="44" xfId="0" applyNumberFormat="1" applyFont="1" applyBorder="1" applyAlignment="1">
      <alignment horizontal="center" vertical="center"/>
    </xf>
    <xf numFmtId="166" fontId="1" fillId="0" borderId="45" xfId="0" applyNumberFormat="1" applyFont="1" applyBorder="1" applyAlignment="1">
      <alignment horizontal="center" vertical="center"/>
    </xf>
    <xf numFmtId="166" fontId="2" fillId="0" borderId="45" xfId="0" applyNumberFormat="1" applyFont="1" applyBorder="1" applyAlignment="1">
      <alignment horizontal="center" vertical="center"/>
    </xf>
    <xf numFmtId="164" fontId="2" fillId="0" borderId="46" xfId="0" applyNumberFormat="1" applyFont="1" applyBorder="1" applyAlignment="1">
      <alignment horizontal="center" vertical="center"/>
    </xf>
    <xf numFmtId="166" fontId="1" fillId="0" borderId="72" xfId="0" applyNumberFormat="1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15" fontId="1" fillId="0" borderId="0" xfId="0" applyNumberFormat="1" applyFont="1" applyAlignment="1">
      <alignment horizontal="center" vertical="center"/>
    </xf>
    <xf numFmtId="168" fontId="1" fillId="0" borderId="0" xfId="0" applyNumberFormat="1" applyFon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166" fontId="2" fillId="0" borderId="6" xfId="0" applyNumberFormat="1" applyFont="1" applyBorder="1" applyAlignment="1">
      <alignment horizontal="center" vertical="center"/>
    </xf>
    <xf numFmtId="166" fontId="2" fillId="0" borderId="5" xfId="0" applyNumberFormat="1" applyFont="1" applyBorder="1" applyAlignment="1">
      <alignment horizontal="center" vertical="center"/>
    </xf>
    <xf numFmtId="166" fontId="2" fillId="0" borderId="60" xfId="0" applyNumberFormat="1" applyFont="1" applyBorder="1" applyAlignment="1">
      <alignment horizontal="center" vertical="center"/>
    </xf>
    <xf numFmtId="166" fontId="2" fillId="0" borderId="6" xfId="0" applyNumberFormat="1" applyFont="1" applyBorder="1" applyAlignment="1">
      <alignment horizontal="center"/>
    </xf>
    <xf numFmtId="166" fontId="2" fillId="0" borderId="8" xfId="0" applyNumberFormat="1" applyFont="1" applyBorder="1"/>
    <xf numFmtId="164" fontId="2" fillId="0" borderId="7" xfId="0" applyNumberFormat="1" applyFont="1" applyBorder="1"/>
    <xf numFmtId="0" fontId="2" fillId="0" borderId="73" xfId="0" applyFont="1" applyBorder="1"/>
    <xf numFmtId="166" fontId="2" fillId="0" borderId="3" xfId="0" applyNumberFormat="1" applyFont="1" applyBorder="1"/>
    <xf numFmtId="0" fontId="1" fillId="0" borderId="24" xfId="0" applyFont="1" applyBorder="1"/>
    <xf numFmtId="166" fontId="1" fillId="0" borderId="24" xfId="0" applyNumberFormat="1" applyFont="1" applyBorder="1"/>
    <xf numFmtId="0" fontId="1" fillId="0" borderId="63" xfId="0" applyFont="1" applyBorder="1"/>
    <xf numFmtId="166" fontId="1" fillId="0" borderId="63" xfId="0" applyNumberFormat="1" applyFont="1" applyBorder="1"/>
    <xf numFmtId="164" fontId="2" fillId="0" borderId="0" xfId="0" applyNumberFormat="1" applyFont="1"/>
    <xf numFmtId="0" fontId="1" fillId="0" borderId="71" xfId="0" applyFont="1" applyBorder="1"/>
    <xf numFmtId="166" fontId="1" fillId="0" borderId="71" xfId="0" applyNumberFormat="1" applyFont="1" applyBorder="1"/>
    <xf numFmtId="166" fontId="2" fillId="0" borderId="0" xfId="0" applyNumberFormat="1" applyFont="1"/>
    <xf numFmtId="0" fontId="1" fillId="0" borderId="22" xfId="0" applyFont="1" applyBorder="1"/>
    <xf numFmtId="0" fontId="2" fillId="0" borderId="61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1" fillId="0" borderId="41" xfId="0" applyFont="1" applyBorder="1"/>
    <xf numFmtId="0" fontId="1" fillId="0" borderId="19" xfId="0" applyFont="1" applyBorder="1"/>
    <xf numFmtId="10" fontId="1" fillId="0" borderId="31" xfId="0" applyNumberFormat="1" applyFont="1" applyBorder="1"/>
    <xf numFmtId="10" fontId="1" fillId="0" borderId="37" xfId="0" applyNumberFormat="1" applyFont="1" applyBorder="1"/>
    <xf numFmtId="166" fontId="1" fillId="0" borderId="68" xfId="0" applyNumberFormat="1" applyFont="1" applyBorder="1"/>
    <xf numFmtId="10" fontId="1" fillId="0" borderId="70" xfId="0" applyNumberFormat="1" applyFont="1" applyBorder="1"/>
    <xf numFmtId="166" fontId="1" fillId="0" borderId="77" xfId="0" applyNumberFormat="1" applyFont="1" applyBorder="1"/>
    <xf numFmtId="0" fontId="2" fillId="0" borderId="13" xfId="0" applyFont="1" applyBorder="1"/>
    <xf numFmtId="166" fontId="2" fillId="0" borderId="14" xfId="0" applyNumberFormat="1" applyFont="1" applyBorder="1"/>
    <xf numFmtId="166" fontId="2" fillId="0" borderId="15" xfId="0" applyNumberFormat="1" applyFont="1" applyBorder="1"/>
    <xf numFmtId="10" fontId="2" fillId="0" borderId="17" xfId="0" applyNumberFormat="1" applyFont="1" applyBorder="1"/>
    <xf numFmtId="166" fontId="1" fillId="0" borderId="27" xfId="0" applyNumberFormat="1" applyFont="1" applyBorder="1"/>
    <xf numFmtId="166" fontId="1" fillId="0" borderId="41" xfId="0" applyNumberFormat="1" applyFont="1" applyBorder="1"/>
    <xf numFmtId="166" fontId="1" fillId="0" borderId="32" xfId="0" applyNumberFormat="1" applyFont="1" applyBorder="1"/>
    <xf numFmtId="0" fontId="1" fillId="0" borderId="64" xfId="0" applyFont="1" applyBorder="1"/>
    <xf numFmtId="166" fontId="1" fillId="0" borderId="45" xfId="0" applyNumberFormat="1" applyFont="1" applyBorder="1"/>
    <xf numFmtId="166" fontId="1" fillId="0" borderId="72" xfId="0" applyNumberFormat="1" applyFont="1" applyBorder="1"/>
    <xf numFmtId="0" fontId="1" fillId="0" borderId="72" xfId="0" applyFont="1" applyBorder="1"/>
    <xf numFmtId="166" fontId="2" fillId="0" borderId="60" xfId="0" applyNumberFormat="1" applyFont="1" applyBorder="1"/>
    <xf numFmtId="0" fontId="2" fillId="0" borderId="55" xfId="0" applyFont="1" applyBorder="1"/>
    <xf numFmtId="166" fontId="2" fillId="0" borderId="56" xfId="0" applyNumberFormat="1" applyFont="1" applyBorder="1"/>
    <xf numFmtId="0" fontId="2" fillId="0" borderId="29" xfId="0" applyFont="1" applyBorder="1"/>
    <xf numFmtId="166" fontId="1" fillId="0" borderId="19" xfId="0" applyNumberFormat="1" applyFont="1" applyBorder="1"/>
    <xf numFmtId="166" fontId="1" fillId="0" borderId="23" xfId="0" applyNumberFormat="1" applyFont="1" applyBorder="1"/>
    <xf numFmtId="0" fontId="2" fillId="0" borderId="77" xfId="0" applyFont="1" applyBorder="1"/>
    <xf numFmtId="166" fontId="1" fillId="0" borderId="54" xfId="0" applyNumberFormat="1" applyFont="1" applyBorder="1"/>
    <xf numFmtId="166" fontId="1" fillId="0" borderId="13" xfId="0" applyNumberFormat="1" applyFont="1" applyBorder="1"/>
    <xf numFmtId="166" fontId="1" fillId="0" borderId="15" xfId="0" applyNumberFormat="1" applyFont="1" applyBorder="1"/>
    <xf numFmtId="166" fontId="1" fillId="0" borderId="6" xfId="0" applyNumberFormat="1" applyFont="1" applyBorder="1"/>
    <xf numFmtId="166" fontId="1" fillId="0" borderId="2" xfId="0" applyNumberFormat="1" applyFont="1" applyBorder="1"/>
    <xf numFmtId="0" fontId="7" fillId="0" borderId="0" xfId="0" applyFont="1"/>
    <xf numFmtId="166" fontId="1" fillId="0" borderId="27" xfId="0" applyNumberFormat="1" applyFont="1" applyBorder="1" applyAlignment="1">
      <alignment horizontal="center"/>
    </xf>
    <xf numFmtId="166" fontId="1" fillId="0" borderId="65" xfId="0" applyNumberFormat="1" applyFont="1" applyBorder="1" applyAlignment="1">
      <alignment horizontal="center"/>
    </xf>
    <xf numFmtId="166" fontId="1" fillId="0" borderId="22" xfId="0" applyNumberFormat="1" applyFont="1" applyBorder="1"/>
    <xf numFmtId="166" fontId="1" fillId="0" borderId="32" xfId="0" applyNumberFormat="1" applyFont="1" applyBorder="1" applyAlignment="1">
      <alignment horizontal="center"/>
    </xf>
    <xf numFmtId="166" fontId="1" fillId="0" borderId="34" xfId="0" applyNumberFormat="1" applyFont="1" applyBorder="1" applyAlignment="1">
      <alignment horizontal="center"/>
    </xf>
    <xf numFmtId="166" fontId="1" fillId="0" borderId="45" xfId="0" applyNumberFormat="1" applyFont="1" applyBorder="1" applyAlignment="1">
      <alignment horizontal="center"/>
    </xf>
    <xf numFmtId="166" fontId="1" fillId="0" borderId="46" xfId="0" applyNumberFormat="1" applyFont="1" applyBorder="1" applyAlignment="1">
      <alignment horizontal="center"/>
    </xf>
    <xf numFmtId="166" fontId="2" fillId="0" borderId="5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62" xfId="0" applyFont="1" applyBorder="1"/>
    <xf numFmtId="166" fontId="1" fillId="0" borderId="69" xfId="0" applyNumberFormat="1" applyFont="1" applyBorder="1"/>
    <xf numFmtId="0" fontId="2" fillId="0" borderId="63" xfId="0" applyFont="1" applyBorder="1"/>
    <xf numFmtId="0" fontId="2" fillId="0" borderId="64" xfId="0" applyFont="1" applyBorder="1"/>
    <xf numFmtId="0" fontId="2" fillId="0" borderId="7" xfId="0" applyFont="1" applyBorder="1" applyAlignment="1">
      <alignment horizontal="center"/>
    </xf>
    <xf numFmtId="0" fontId="1" fillId="0" borderId="62" xfId="0" applyFont="1" applyBorder="1"/>
    <xf numFmtId="10" fontId="1" fillId="0" borderId="21" xfId="0" applyNumberFormat="1" applyFont="1" applyBorder="1"/>
    <xf numFmtId="10" fontId="1" fillId="0" borderId="34" xfId="0" applyNumberFormat="1" applyFont="1" applyBorder="1"/>
    <xf numFmtId="10" fontId="1" fillId="0" borderId="68" xfId="0" applyNumberFormat="1" applyFont="1" applyBorder="1"/>
    <xf numFmtId="166" fontId="2" fillId="0" borderId="13" xfId="0" applyNumberFormat="1" applyFont="1" applyBorder="1"/>
    <xf numFmtId="10" fontId="2" fillId="0" borderId="15" xfId="0" applyNumberFormat="1" applyFont="1" applyBorder="1"/>
    <xf numFmtId="166" fontId="2" fillId="0" borderId="69" xfId="0" applyNumberFormat="1" applyFont="1" applyBorder="1"/>
    <xf numFmtId="0" fontId="2" fillId="0" borderId="71" xfId="0" applyFont="1" applyBorder="1"/>
    <xf numFmtId="166" fontId="2" fillId="0" borderId="28" xfId="0" applyNumberFormat="1" applyFont="1" applyBorder="1"/>
    <xf numFmtId="166" fontId="2" fillId="0" borderId="2" xfId="0" applyNumberFormat="1" applyFont="1" applyBorder="1"/>
    <xf numFmtId="0" fontId="1" fillId="0" borderId="0" xfId="0" applyFont="1" applyAlignment="1">
      <alignment horizontal="center"/>
    </xf>
    <xf numFmtId="0" fontId="0" fillId="0" borderId="0" xfId="0"/>
    <xf numFmtId="0" fontId="2" fillId="0" borderId="3" xfId="0" applyFont="1" applyBorder="1" applyAlignment="1">
      <alignment horizontal="center" vertical="center" wrapText="1"/>
    </xf>
    <xf numFmtId="0" fontId="3" fillId="0" borderId="4" xfId="0" applyFont="1" applyBorder="1"/>
    <xf numFmtId="0" fontId="3" fillId="0" borderId="5" xfId="0" applyFont="1" applyBorder="1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/>
    <xf numFmtId="0" fontId="3" fillId="0" borderId="2" xfId="0" applyFont="1" applyBorder="1"/>
    <xf numFmtId="0" fontId="2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/>
    </xf>
    <xf numFmtId="0" fontId="2" fillId="0" borderId="62" xfId="0" applyFont="1" applyBorder="1" applyAlignment="1">
      <alignment horizontal="center"/>
    </xf>
    <xf numFmtId="0" fontId="3" fillId="0" borderId="69" xfId="0" applyFont="1" applyBorder="1"/>
    <xf numFmtId="0" fontId="2" fillId="0" borderId="8" xfId="0" applyFont="1" applyBorder="1" applyAlignment="1">
      <alignment horizontal="center"/>
    </xf>
    <xf numFmtId="0" fontId="3" fillId="0" borderId="9" xfId="0" applyFont="1" applyBorder="1"/>
    <xf numFmtId="166" fontId="2" fillId="0" borderId="3" xfId="0" applyNumberFormat="1" applyFont="1" applyBorder="1" applyAlignment="1">
      <alignment horizontal="center"/>
    </xf>
    <xf numFmtId="164" fontId="1" fillId="0" borderId="63" xfId="0" applyNumberFormat="1" applyFont="1" applyBorder="1" applyAlignment="1">
      <alignment horizontal="center"/>
    </xf>
    <xf numFmtId="0" fontId="3" fillId="0" borderId="41" xfId="0" applyFont="1" applyBorder="1"/>
    <xf numFmtId="164" fontId="2" fillId="0" borderId="64" xfId="0" applyNumberFormat="1" applyFont="1" applyBorder="1" applyAlignment="1">
      <alignment horizontal="center"/>
    </xf>
    <xf numFmtId="0" fontId="3" fillId="0" borderId="72" xfId="0" applyFont="1" applyBorder="1"/>
    <xf numFmtId="0" fontId="2" fillId="0" borderId="0" xfId="0" applyFont="1" applyAlignment="1">
      <alignment horizontal="center"/>
    </xf>
    <xf numFmtId="0" fontId="3" fillId="0" borderId="61" xfId="0" applyFont="1" applyBorder="1"/>
    <xf numFmtId="0" fontId="2" fillId="2" borderId="74" xfId="0" applyFont="1" applyFill="1" applyBorder="1" applyAlignment="1">
      <alignment horizontal="center"/>
    </xf>
    <xf numFmtId="0" fontId="3" fillId="0" borderId="75" xfId="0" applyFont="1" applyBorder="1"/>
    <xf numFmtId="0" fontId="3" fillId="0" borderId="76" xfId="0" applyFont="1" applyBorder="1"/>
    <xf numFmtId="170" fontId="1" fillId="0" borderId="20" xfId="0" applyNumberFormat="1" applyFont="1" applyBorder="1"/>
  </cellXfs>
  <cellStyles count="1">
    <cellStyle name="Normal" xfId="0" builtinId="0"/>
  </cellStyles>
  <dxfs count="1"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2:F100"/>
  <sheetViews>
    <sheetView workbookViewId="0">
      <selection activeCell="G27" sqref="G27"/>
    </sheetView>
  </sheetViews>
  <sheetFormatPr defaultColWidth="12.6640625" defaultRowHeight="15" customHeight="1" x14ac:dyDescent="0.3"/>
  <cols>
    <col min="1" max="11" width="9.33203125" customWidth="1"/>
  </cols>
  <sheetData>
    <row r="2" spans="4:6" ht="14.4" x14ac:dyDescent="0.3">
      <c r="F2" s="1">
        <v>45500</v>
      </c>
    </row>
    <row r="3" spans="4:6" ht="14.4" x14ac:dyDescent="0.3">
      <c r="D3" s="346" t="s">
        <v>0</v>
      </c>
      <c r="E3" s="347"/>
      <c r="F3" s="347"/>
    </row>
    <row r="4" spans="4:6" ht="14.4" x14ac:dyDescent="0.3">
      <c r="D4" s="2" t="s">
        <v>1</v>
      </c>
      <c r="E4" s="2" t="s">
        <v>2</v>
      </c>
      <c r="F4" s="2" t="s">
        <v>3</v>
      </c>
    </row>
    <row r="5" spans="4:6" ht="14.4" x14ac:dyDescent="0.3">
      <c r="D5" s="2">
        <v>7</v>
      </c>
      <c r="E5" s="2">
        <f t="shared" ref="E5:E7" si="0">+E6-1</f>
        <v>49</v>
      </c>
      <c r="F5" s="2">
        <f t="shared" ref="F5:F30" si="1">+E5+D5</f>
        <v>56</v>
      </c>
    </row>
    <row r="6" spans="4:6" ht="14.4" x14ac:dyDescent="0.3">
      <c r="D6" s="2">
        <v>8</v>
      </c>
      <c r="E6" s="2">
        <f t="shared" si="0"/>
        <v>50</v>
      </c>
      <c r="F6" s="2">
        <f t="shared" si="1"/>
        <v>58</v>
      </c>
    </row>
    <row r="7" spans="4:6" ht="14.4" x14ac:dyDescent="0.3">
      <c r="D7" s="2">
        <v>9</v>
      </c>
      <c r="E7" s="2">
        <f t="shared" si="0"/>
        <v>51</v>
      </c>
      <c r="F7" s="2">
        <f t="shared" si="1"/>
        <v>60</v>
      </c>
    </row>
    <row r="8" spans="4:6" ht="14.4" x14ac:dyDescent="0.3">
      <c r="D8" s="2">
        <v>10</v>
      </c>
      <c r="E8" s="2">
        <v>52</v>
      </c>
      <c r="F8" s="2">
        <f t="shared" si="1"/>
        <v>62</v>
      </c>
    </row>
    <row r="9" spans="4:6" ht="14.4" x14ac:dyDescent="0.3">
      <c r="D9" s="2">
        <v>11</v>
      </c>
      <c r="E9" s="2">
        <f>+E8+1</f>
        <v>53</v>
      </c>
      <c r="F9" s="2">
        <f t="shared" si="1"/>
        <v>64</v>
      </c>
    </row>
    <row r="10" spans="4:6" ht="14.4" x14ac:dyDescent="0.3">
      <c r="D10" s="2">
        <v>12</v>
      </c>
      <c r="E10" s="2">
        <v>55</v>
      </c>
      <c r="F10" s="2">
        <f t="shared" si="1"/>
        <v>67</v>
      </c>
    </row>
    <row r="11" spans="4:6" ht="14.4" x14ac:dyDescent="0.3">
      <c r="D11" s="2">
        <v>13</v>
      </c>
      <c r="E11" s="2">
        <v>55</v>
      </c>
      <c r="F11" s="2">
        <f t="shared" si="1"/>
        <v>68</v>
      </c>
    </row>
    <row r="12" spans="4:6" ht="14.4" x14ac:dyDescent="0.3">
      <c r="D12" s="2">
        <v>14</v>
      </c>
      <c r="E12" s="2">
        <v>60</v>
      </c>
      <c r="F12" s="2">
        <f t="shared" si="1"/>
        <v>74</v>
      </c>
    </row>
    <row r="13" spans="4:6" ht="14.4" x14ac:dyDescent="0.3">
      <c r="D13" s="2">
        <v>15</v>
      </c>
      <c r="E13" s="2">
        <v>65</v>
      </c>
      <c r="F13" s="2">
        <f t="shared" si="1"/>
        <v>80</v>
      </c>
    </row>
    <row r="14" spans="4:6" ht="14.4" x14ac:dyDescent="0.3">
      <c r="D14" s="2">
        <v>16</v>
      </c>
      <c r="E14" s="2">
        <v>60</v>
      </c>
      <c r="F14" s="2">
        <f t="shared" si="1"/>
        <v>76</v>
      </c>
    </row>
    <row r="15" spans="4:6" ht="14.4" x14ac:dyDescent="0.3">
      <c r="D15" s="2">
        <v>17</v>
      </c>
      <c r="E15" s="2">
        <v>62</v>
      </c>
      <c r="F15" s="2">
        <f t="shared" si="1"/>
        <v>79</v>
      </c>
    </row>
    <row r="16" spans="4:6" ht="14.4" x14ac:dyDescent="0.3">
      <c r="D16" s="2">
        <v>18</v>
      </c>
      <c r="E16" s="2">
        <v>62</v>
      </c>
      <c r="F16" s="2">
        <f t="shared" si="1"/>
        <v>80</v>
      </c>
    </row>
    <row r="17" spans="4:6" ht="14.4" x14ac:dyDescent="0.3">
      <c r="D17" s="2">
        <v>19</v>
      </c>
      <c r="E17" s="2">
        <v>62</v>
      </c>
      <c r="F17" s="2">
        <f t="shared" si="1"/>
        <v>81</v>
      </c>
    </row>
    <row r="18" spans="4:6" ht="14.4" x14ac:dyDescent="0.3">
      <c r="D18" s="2">
        <v>20</v>
      </c>
      <c r="E18" s="2">
        <v>64</v>
      </c>
      <c r="F18" s="2">
        <f t="shared" si="1"/>
        <v>84</v>
      </c>
    </row>
    <row r="19" spans="4:6" ht="14.4" x14ac:dyDescent="0.3">
      <c r="D19" s="2">
        <v>21</v>
      </c>
      <c r="E19" s="2">
        <v>64</v>
      </c>
      <c r="F19" s="2">
        <f t="shared" si="1"/>
        <v>85</v>
      </c>
    </row>
    <row r="20" spans="4:6" ht="14.4" x14ac:dyDescent="0.3">
      <c r="D20" s="2">
        <v>22</v>
      </c>
      <c r="E20" s="2">
        <v>64</v>
      </c>
      <c r="F20" s="2">
        <f t="shared" si="1"/>
        <v>86</v>
      </c>
    </row>
    <row r="21" spans="4:6" ht="15.75" customHeight="1" x14ac:dyDescent="0.3">
      <c r="D21" s="2">
        <v>23</v>
      </c>
      <c r="E21" s="2">
        <v>64</v>
      </c>
      <c r="F21" s="2">
        <f t="shared" si="1"/>
        <v>87</v>
      </c>
    </row>
    <row r="22" spans="4:6" ht="15.75" customHeight="1" x14ac:dyDescent="0.3">
      <c r="D22" s="2">
        <v>24</v>
      </c>
      <c r="E22" s="2">
        <v>64</v>
      </c>
      <c r="F22" s="2">
        <f t="shared" si="1"/>
        <v>88</v>
      </c>
    </row>
    <row r="23" spans="4:6" ht="15.75" customHeight="1" x14ac:dyDescent="0.3">
      <c r="D23" s="2">
        <v>25</v>
      </c>
      <c r="E23" s="2">
        <v>64</v>
      </c>
      <c r="F23" s="2">
        <f t="shared" si="1"/>
        <v>89</v>
      </c>
    </row>
    <row r="24" spans="4:6" ht="15.75" customHeight="1" x14ac:dyDescent="0.3">
      <c r="D24" s="2">
        <v>26</v>
      </c>
      <c r="E24" s="2">
        <v>64</v>
      </c>
      <c r="F24" s="2">
        <f t="shared" si="1"/>
        <v>90</v>
      </c>
    </row>
    <row r="25" spans="4:6" ht="15.75" customHeight="1" x14ac:dyDescent="0.3">
      <c r="D25" s="2">
        <v>27</v>
      </c>
      <c r="E25" s="2">
        <v>64</v>
      </c>
      <c r="F25" s="2">
        <f t="shared" si="1"/>
        <v>91</v>
      </c>
    </row>
    <row r="26" spans="4:6" ht="15.75" customHeight="1" x14ac:dyDescent="0.3">
      <c r="D26" s="2">
        <v>28</v>
      </c>
      <c r="E26" s="2">
        <v>64</v>
      </c>
      <c r="F26" s="2">
        <f t="shared" si="1"/>
        <v>92</v>
      </c>
    </row>
    <row r="27" spans="4:6" ht="15.75" customHeight="1" x14ac:dyDescent="0.3">
      <c r="D27" s="2">
        <v>29</v>
      </c>
      <c r="E27" s="2">
        <v>64</v>
      </c>
      <c r="F27" s="2">
        <f t="shared" si="1"/>
        <v>93</v>
      </c>
    </row>
    <row r="28" spans="4:6" ht="15.75" customHeight="1" x14ac:dyDescent="0.3">
      <c r="D28" s="2">
        <v>30</v>
      </c>
      <c r="E28" s="2">
        <v>64</v>
      </c>
      <c r="F28" s="2">
        <f t="shared" si="1"/>
        <v>94</v>
      </c>
    </row>
    <row r="29" spans="4:6" ht="15.75" customHeight="1" x14ac:dyDescent="0.3">
      <c r="D29" s="2">
        <v>32</v>
      </c>
      <c r="E29" s="2">
        <v>64</v>
      </c>
      <c r="F29" s="2">
        <f t="shared" si="1"/>
        <v>96</v>
      </c>
    </row>
    <row r="30" spans="4:6" ht="15.75" customHeight="1" x14ac:dyDescent="0.3">
      <c r="D30" s="2">
        <v>34</v>
      </c>
      <c r="E30" s="2">
        <v>64</v>
      </c>
      <c r="F30" s="2">
        <f t="shared" si="1"/>
        <v>98</v>
      </c>
    </row>
    <row r="31" spans="4:6" ht="15.75" customHeight="1" x14ac:dyDescent="0.3"/>
    <row r="32" spans="4:6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</sheetData>
  <mergeCells count="1">
    <mergeCell ref="D3:F3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L100"/>
  <sheetViews>
    <sheetView topLeftCell="BV1" workbookViewId="0"/>
  </sheetViews>
  <sheetFormatPr defaultColWidth="12.6640625" defaultRowHeight="15" customHeight="1" x14ac:dyDescent="0.3"/>
  <cols>
    <col min="1" max="3" width="9.33203125" customWidth="1"/>
    <col min="4" max="4" width="24.33203125" customWidth="1"/>
    <col min="5" max="8" width="6" customWidth="1"/>
    <col min="9" max="9" width="5.33203125" customWidth="1"/>
    <col min="10" max="13" width="6" customWidth="1"/>
    <col min="14" max="14" width="5.44140625" customWidth="1"/>
    <col min="15" max="18" width="6" customWidth="1"/>
    <col min="19" max="19" width="5.44140625" customWidth="1"/>
    <col min="20" max="23" width="6" customWidth="1"/>
    <col min="24" max="24" width="5.44140625" customWidth="1"/>
    <col min="25" max="28" width="6" customWidth="1"/>
    <col min="29" max="29" width="5.44140625" customWidth="1"/>
    <col min="30" max="33" width="6" customWidth="1"/>
    <col min="34" max="34" width="5.44140625" customWidth="1"/>
    <col min="35" max="38" width="6" customWidth="1"/>
    <col min="39" max="39" width="5.44140625" customWidth="1"/>
    <col min="40" max="43" width="6" customWidth="1"/>
    <col min="44" max="44" width="5.44140625" customWidth="1"/>
    <col min="45" max="48" width="6" customWidth="1"/>
    <col min="49" max="49" width="5.44140625" customWidth="1"/>
    <col min="50" max="53" width="6" customWidth="1"/>
    <col min="54" max="54" width="5.44140625" customWidth="1"/>
    <col min="55" max="58" width="6" customWidth="1"/>
    <col min="59" max="59" width="5.44140625" customWidth="1"/>
    <col min="60" max="63" width="6" customWidth="1"/>
    <col min="64" max="64" width="5.44140625" customWidth="1"/>
    <col min="65" max="65" width="7.21875" customWidth="1"/>
    <col min="66" max="66" width="29.44140625" customWidth="1"/>
    <col min="67" max="67" width="7.33203125" customWidth="1"/>
    <col min="68" max="68" width="8.21875" customWidth="1"/>
    <col min="69" max="69" width="9.77734375" customWidth="1"/>
    <col min="70" max="76" width="7.77734375" customWidth="1"/>
    <col min="77" max="77" width="9.77734375" customWidth="1"/>
    <col min="78" max="81" width="8.21875" customWidth="1"/>
    <col min="82" max="82" width="9.77734375" customWidth="1"/>
    <col min="83" max="86" width="9.33203125" customWidth="1"/>
    <col min="87" max="87" width="10.44140625" customWidth="1"/>
    <col min="88" max="90" width="9.33203125" customWidth="1"/>
  </cols>
  <sheetData>
    <row r="1" spans="1:90" ht="14.4" x14ac:dyDescent="0.3">
      <c r="E1" s="3"/>
      <c r="I1" s="3"/>
      <c r="N1" s="3"/>
      <c r="S1" s="3"/>
      <c r="X1" s="3"/>
      <c r="AC1" s="3"/>
      <c r="AH1" s="3"/>
      <c r="AM1" s="3"/>
      <c r="AR1" s="3"/>
      <c r="AW1" s="3"/>
      <c r="BB1" s="3"/>
      <c r="BG1" s="3"/>
      <c r="BM1" s="3"/>
      <c r="BV1" s="3"/>
      <c r="BX1" s="4"/>
      <c r="BY1" s="4"/>
      <c r="BZ1" s="4"/>
      <c r="CA1" s="4"/>
      <c r="CB1" s="4"/>
      <c r="CC1" s="4"/>
      <c r="CD1" s="4"/>
    </row>
    <row r="2" spans="1:90" ht="14.4" x14ac:dyDescent="0.3">
      <c r="E2" s="3"/>
      <c r="F2">
        <f>240+92</f>
        <v>332</v>
      </c>
      <c r="I2" s="3"/>
      <c r="N2" s="3"/>
      <c r="S2" s="3"/>
      <c r="X2" s="3"/>
      <c r="AC2" s="3"/>
      <c r="AH2" s="3"/>
      <c r="AM2" s="3"/>
      <c r="AR2" s="3"/>
      <c r="AW2" s="3"/>
      <c r="BB2" s="3"/>
      <c r="BG2" s="3"/>
      <c r="BM2" s="3"/>
      <c r="BO2" s="351" t="s">
        <v>4</v>
      </c>
      <c r="BP2" s="352"/>
      <c r="BQ2" s="353"/>
      <c r="BV2" s="3"/>
      <c r="BX2" s="4"/>
      <c r="BY2" s="4"/>
      <c r="BZ2" s="4"/>
      <c r="CA2" s="4"/>
      <c r="CB2" s="4"/>
      <c r="CC2" s="4"/>
      <c r="CD2" s="4"/>
    </row>
    <row r="3" spans="1:90" ht="28.8" x14ac:dyDescent="0.3">
      <c r="A3" s="3"/>
      <c r="B3" s="3"/>
      <c r="C3" s="3"/>
      <c r="D3" s="3"/>
      <c r="E3" s="348" t="s">
        <v>5</v>
      </c>
      <c r="F3" s="349"/>
      <c r="G3" s="349"/>
      <c r="H3" s="350"/>
      <c r="I3" s="6" t="s">
        <v>6</v>
      </c>
      <c r="J3" s="348" t="s">
        <v>7</v>
      </c>
      <c r="K3" s="349"/>
      <c r="L3" s="349"/>
      <c r="M3" s="350"/>
      <c r="N3" s="7" t="s">
        <v>6</v>
      </c>
      <c r="O3" s="348" t="s">
        <v>8</v>
      </c>
      <c r="P3" s="349"/>
      <c r="Q3" s="349"/>
      <c r="R3" s="350"/>
      <c r="S3" s="7" t="s">
        <v>6</v>
      </c>
      <c r="T3" s="348" t="s">
        <v>9</v>
      </c>
      <c r="U3" s="349"/>
      <c r="V3" s="349"/>
      <c r="W3" s="350"/>
      <c r="X3" s="7" t="s">
        <v>6</v>
      </c>
      <c r="Y3" s="348" t="s">
        <v>10</v>
      </c>
      <c r="Z3" s="349"/>
      <c r="AA3" s="349"/>
      <c r="AB3" s="350"/>
      <c r="AC3" s="7" t="s">
        <v>6</v>
      </c>
      <c r="AD3" s="348" t="s">
        <v>11</v>
      </c>
      <c r="AE3" s="349"/>
      <c r="AF3" s="349"/>
      <c r="AG3" s="350"/>
      <c r="AH3" s="7" t="s">
        <v>6</v>
      </c>
      <c r="AI3" s="348" t="s">
        <v>12</v>
      </c>
      <c r="AJ3" s="349"/>
      <c r="AK3" s="349"/>
      <c r="AL3" s="350"/>
      <c r="AM3" s="7" t="s">
        <v>6</v>
      </c>
      <c r="AN3" s="348" t="s">
        <v>13</v>
      </c>
      <c r="AO3" s="349"/>
      <c r="AP3" s="349"/>
      <c r="AQ3" s="350"/>
      <c r="AR3" s="7" t="s">
        <v>6</v>
      </c>
      <c r="AS3" s="348" t="s">
        <v>14</v>
      </c>
      <c r="AT3" s="349"/>
      <c r="AU3" s="349"/>
      <c r="AV3" s="350"/>
      <c r="AW3" s="7" t="s">
        <v>6</v>
      </c>
      <c r="AX3" s="348" t="s">
        <v>15</v>
      </c>
      <c r="AY3" s="349"/>
      <c r="AZ3" s="349"/>
      <c r="BA3" s="350"/>
      <c r="BB3" s="7" t="s">
        <v>6</v>
      </c>
      <c r="BC3" s="348" t="s">
        <v>16</v>
      </c>
      <c r="BD3" s="349"/>
      <c r="BE3" s="349"/>
      <c r="BF3" s="350"/>
      <c r="BG3" s="7" t="s">
        <v>6</v>
      </c>
      <c r="BH3" s="348" t="s">
        <v>17</v>
      </c>
      <c r="BI3" s="349"/>
      <c r="BJ3" s="349"/>
      <c r="BK3" s="350"/>
      <c r="BL3" s="7" t="s">
        <v>6</v>
      </c>
      <c r="BM3" s="3"/>
      <c r="BN3" s="8" t="s">
        <v>18</v>
      </c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9"/>
      <c r="CE3" s="3"/>
      <c r="CF3" s="3"/>
      <c r="CG3" s="10">
        <f>+'PROY GPO ESCOBEDO'!T3</f>
        <v>122.1</v>
      </c>
      <c r="CH3" s="11" t="s">
        <v>19</v>
      </c>
      <c r="CI3" s="12" t="s">
        <v>20</v>
      </c>
      <c r="CJ3" s="13"/>
      <c r="CK3" s="3"/>
      <c r="CL3" s="3"/>
    </row>
    <row r="4" spans="1:90" ht="28.8" x14ac:dyDescent="0.3">
      <c r="A4" s="3"/>
      <c r="B4" s="3"/>
      <c r="C4" s="3"/>
      <c r="D4" s="14" t="s">
        <v>21</v>
      </c>
      <c r="E4" s="15" t="s">
        <v>22</v>
      </c>
      <c r="F4" s="16" t="s">
        <v>23</v>
      </c>
      <c r="G4" s="16" t="s">
        <v>24</v>
      </c>
      <c r="H4" s="17" t="s">
        <v>25</v>
      </c>
      <c r="I4" s="14" t="s">
        <v>26</v>
      </c>
      <c r="J4" s="18" t="s">
        <v>22</v>
      </c>
      <c r="K4" s="19" t="s">
        <v>23</v>
      </c>
      <c r="L4" s="19" t="s">
        <v>24</v>
      </c>
      <c r="M4" s="20" t="s">
        <v>25</v>
      </c>
      <c r="N4" s="14" t="s">
        <v>27</v>
      </c>
      <c r="O4" s="21" t="s">
        <v>22</v>
      </c>
      <c r="P4" s="19" t="s">
        <v>23</v>
      </c>
      <c r="Q4" s="19" t="s">
        <v>24</v>
      </c>
      <c r="R4" s="20" t="s">
        <v>25</v>
      </c>
      <c r="S4" s="14" t="s">
        <v>27</v>
      </c>
      <c r="T4" s="18" t="s">
        <v>22</v>
      </c>
      <c r="U4" s="19" t="s">
        <v>23</v>
      </c>
      <c r="V4" s="19" t="s">
        <v>24</v>
      </c>
      <c r="W4" s="20" t="s">
        <v>25</v>
      </c>
      <c r="X4" s="14" t="s">
        <v>27</v>
      </c>
      <c r="Y4" s="18" t="s">
        <v>22</v>
      </c>
      <c r="Z4" s="19" t="s">
        <v>23</v>
      </c>
      <c r="AA4" s="19" t="s">
        <v>24</v>
      </c>
      <c r="AB4" s="20" t="s">
        <v>25</v>
      </c>
      <c r="AC4" s="14" t="s">
        <v>27</v>
      </c>
      <c r="AD4" s="21" t="s">
        <v>22</v>
      </c>
      <c r="AE4" s="19" t="s">
        <v>23</v>
      </c>
      <c r="AF4" s="19" t="s">
        <v>24</v>
      </c>
      <c r="AG4" s="20" t="s">
        <v>25</v>
      </c>
      <c r="AH4" s="14" t="s">
        <v>27</v>
      </c>
      <c r="AI4" s="18" t="s">
        <v>22</v>
      </c>
      <c r="AJ4" s="19" t="s">
        <v>23</v>
      </c>
      <c r="AK4" s="19" t="s">
        <v>24</v>
      </c>
      <c r="AL4" s="20" t="s">
        <v>25</v>
      </c>
      <c r="AM4" s="14" t="s">
        <v>27</v>
      </c>
      <c r="AN4" s="15" t="s">
        <v>22</v>
      </c>
      <c r="AO4" s="16" t="s">
        <v>23</v>
      </c>
      <c r="AP4" s="16" t="s">
        <v>24</v>
      </c>
      <c r="AQ4" s="17" t="s">
        <v>25</v>
      </c>
      <c r="AR4" s="14" t="s">
        <v>27</v>
      </c>
      <c r="AS4" s="15" t="s">
        <v>22</v>
      </c>
      <c r="AT4" s="16" t="s">
        <v>23</v>
      </c>
      <c r="AU4" s="16" t="s">
        <v>24</v>
      </c>
      <c r="AV4" s="17" t="s">
        <v>25</v>
      </c>
      <c r="AW4" s="14" t="s">
        <v>27</v>
      </c>
      <c r="AX4" s="15" t="s">
        <v>22</v>
      </c>
      <c r="AY4" s="16" t="s">
        <v>23</v>
      </c>
      <c r="AZ4" s="16" t="s">
        <v>24</v>
      </c>
      <c r="BA4" s="17" t="s">
        <v>25</v>
      </c>
      <c r="BB4" s="14" t="s">
        <v>27</v>
      </c>
      <c r="BC4" s="18" t="s">
        <v>22</v>
      </c>
      <c r="BD4" s="19" t="s">
        <v>23</v>
      </c>
      <c r="BE4" s="19" t="s">
        <v>24</v>
      </c>
      <c r="BF4" s="20" t="s">
        <v>25</v>
      </c>
      <c r="BG4" s="14" t="s">
        <v>27</v>
      </c>
      <c r="BH4" s="21" t="s">
        <v>22</v>
      </c>
      <c r="BI4" s="19" t="s">
        <v>23</v>
      </c>
      <c r="BJ4" s="19" t="s">
        <v>24</v>
      </c>
      <c r="BK4" s="20" t="s">
        <v>25</v>
      </c>
      <c r="BL4" s="14" t="s">
        <v>27</v>
      </c>
      <c r="BM4" s="3"/>
      <c r="BN4" s="14" t="s">
        <v>21</v>
      </c>
      <c r="BO4" s="5" t="s">
        <v>28</v>
      </c>
      <c r="BP4" s="5" t="s">
        <v>29</v>
      </c>
      <c r="BQ4" s="14" t="s">
        <v>30</v>
      </c>
      <c r="BR4" s="14" t="s">
        <v>5</v>
      </c>
      <c r="BS4" s="22" t="s">
        <v>7</v>
      </c>
      <c r="BT4" s="14" t="s">
        <v>8</v>
      </c>
      <c r="BU4" s="14" t="s">
        <v>31</v>
      </c>
      <c r="BV4" s="14" t="s">
        <v>10</v>
      </c>
      <c r="BW4" s="14" t="s">
        <v>11</v>
      </c>
      <c r="BX4" s="23" t="s">
        <v>12</v>
      </c>
      <c r="BY4" s="23" t="s">
        <v>13</v>
      </c>
      <c r="BZ4" s="23" t="s">
        <v>14</v>
      </c>
      <c r="CA4" s="23" t="s">
        <v>15</v>
      </c>
      <c r="CB4" s="23" t="s">
        <v>16</v>
      </c>
      <c r="CC4" s="23" t="s">
        <v>17</v>
      </c>
      <c r="CD4" s="23" t="s">
        <v>32</v>
      </c>
      <c r="CE4" s="3"/>
      <c r="CF4" s="8" t="s">
        <v>33</v>
      </c>
      <c r="CG4" s="24" t="s">
        <v>34</v>
      </c>
      <c r="CH4" s="25" t="s">
        <v>35</v>
      </c>
      <c r="CI4" s="26" t="s">
        <v>36</v>
      </c>
      <c r="CJ4" s="27" t="s">
        <v>37</v>
      </c>
      <c r="CK4" s="3"/>
      <c r="CL4" s="3"/>
    </row>
    <row r="5" spans="1:90" ht="14.4" x14ac:dyDescent="0.3">
      <c r="A5" s="3"/>
      <c r="B5" s="3"/>
      <c r="C5" s="28"/>
      <c r="D5" s="29" t="s">
        <v>38</v>
      </c>
      <c r="E5" s="30"/>
      <c r="F5" s="31"/>
      <c r="G5" s="32"/>
      <c r="H5" s="33"/>
      <c r="I5" s="34"/>
      <c r="J5" s="30"/>
      <c r="K5" s="32"/>
      <c r="L5" s="32"/>
      <c r="M5" s="33"/>
      <c r="N5" s="35"/>
      <c r="O5" s="30"/>
      <c r="P5" s="32"/>
      <c r="Q5" s="32"/>
      <c r="R5" s="33"/>
      <c r="S5" s="35"/>
      <c r="T5" s="30"/>
      <c r="U5" s="32"/>
      <c r="V5" s="32"/>
      <c r="W5" s="33"/>
      <c r="X5" s="35"/>
      <c r="Y5" s="30"/>
      <c r="Z5" s="32"/>
      <c r="AA5" s="32"/>
      <c r="AB5" s="33"/>
      <c r="AC5" s="35"/>
      <c r="AD5" s="30"/>
      <c r="AE5" s="32"/>
      <c r="AF5" s="32"/>
      <c r="AG5" s="33"/>
      <c r="AH5" s="35"/>
      <c r="AI5" s="30"/>
      <c r="AJ5" s="32"/>
      <c r="AK5" s="32"/>
      <c r="AL5" s="33"/>
      <c r="AM5" s="36"/>
      <c r="AN5" s="37">
        <v>1</v>
      </c>
      <c r="AO5" s="32">
        <v>1</v>
      </c>
      <c r="AP5" s="32">
        <v>1</v>
      </c>
      <c r="AQ5" s="33">
        <v>1</v>
      </c>
      <c r="AR5" s="38">
        <f t="shared" ref="AR5:AR13" si="0">AVERAGE(AN5:AQ5)</f>
        <v>1</v>
      </c>
      <c r="AS5" s="30">
        <v>1</v>
      </c>
      <c r="AT5" s="32">
        <v>1</v>
      </c>
      <c r="AU5" s="32">
        <v>1</v>
      </c>
      <c r="AV5" s="33">
        <v>1</v>
      </c>
      <c r="AW5" s="38">
        <f t="shared" ref="AW5:AW13" si="1">AVERAGE(AS5:AV5)</f>
        <v>1</v>
      </c>
      <c r="AX5" s="30">
        <v>1</v>
      </c>
      <c r="AY5" s="32">
        <v>1</v>
      </c>
      <c r="AZ5" s="32">
        <v>1</v>
      </c>
      <c r="BA5" s="33">
        <v>1</v>
      </c>
      <c r="BB5" s="39">
        <f t="shared" ref="BB5:BB13" si="2">AVERAGE(AX5:BA5)</f>
        <v>1</v>
      </c>
      <c r="BC5" s="30">
        <v>1</v>
      </c>
      <c r="BD5" s="32">
        <v>1</v>
      </c>
      <c r="BE5" s="32">
        <v>1</v>
      </c>
      <c r="BF5" s="33">
        <v>1</v>
      </c>
      <c r="BG5" s="35">
        <f t="shared" ref="BG5:BG13" si="3">AVERAGE(BC5:BF5)</f>
        <v>1</v>
      </c>
      <c r="BH5" s="30">
        <v>1</v>
      </c>
      <c r="BI5" s="32">
        <v>1</v>
      </c>
      <c r="BJ5" s="32">
        <v>1</v>
      </c>
      <c r="BK5" s="33">
        <v>1</v>
      </c>
      <c r="BL5" s="40">
        <f t="shared" ref="BL5:BL16" si="4">AVERAGE(BH5:BK5)</f>
        <v>1</v>
      </c>
      <c r="BM5" s="3"/>
      <c r="BN5" s="41" t="s">
        <v>39</v>
      </c>
      <c r="BO5" s="42">
        <v>10000</v>
      </c>
      <c r="BP5" s="43">
        <f>+BO5/7*30</f>
        <v>42857.142857142862</v>
      </c>
      <c r="BQ5" s="44">
        <f t="shared" ref="BQ5:BQ18" si="5">+BP5*I5+N5*BP5+S5*BP5+X5*BP5+AC5*BP5+AH5*BP5+AM5*BP5+AR5*BP5+AW5*BP5+BB5*BP5+BG5*BP5+BL5*BP5</f>
        <v>214285.71428571432</v>
      </c>
      <c r="BR5" s="45">
        <f t="shared" ref="BR5:BR10" si="6">+I5*$BP5</f>
        <v>0</v>
      </c>
      <c r="BS5" s="46">
        <f t="shared" ref="BS5:BS10" si="7">+N5*$BP5</f>
        <v>0</v>
      </c>
      <c r="BT5" s="46">
        <f t="shared" ref="BT5:BT18" si="8">+S5*$BP5</f>
        <v>0</v>
      </c>
      <c r="BU5" s="46">
        <f t="shared" ref="BU5:BU18" si="9">+X5*$BP5</f>
        <v>0</v>
      </c>
      <c r="BV5" s="46">
        <f t="shared" ref="BV5:BV18" si="10">+AC5*$BP5</f>
        <v>0</v>
      </c>
      <c r="BW5" s="46">
        <f t="shared" ref="BW5:BW18" si="11">+AH5*$BP5</f>
        <v>0</v>
      </c>
      <c r="BX5" s="46">
        <f t="shared" ref="BX5:BX18" si="12">+AM5*$BP5</f>
        <v>0</v>
      </c>
      <c r="BY5" s="46">
        <f t="shared" ref="BY5:BY18" si="13">+AR5*$BP5</f>
        <v>42857.142857142862</v>
      </c>
      <c r="BZ5" s="46">
        <f t="shared" ref="BZ5:BZ18" si="14">+AW5*$BP5</f>
        <v>42857.142857142862</v>
      </c>
      <c r="CA5" s="46">
        <f t="shared" ref="CA5:CA18" si="15">+BB5*$BP5</f>
        <v>42857.142857142862</v>
      </c>
      <c r="CB5" s="46">
        <f t="shared" ref="CB5:CB18" si="16">+BG5*$BP5</f>
        <v>42857.142857142862</v>
      </c>
      <c r="CC5" s="46">
        <f t="shared" ref="CC5:CC18" si="17">+BL5*$BP5</f>
        <v>42857.142857142862</v>
      </c>
      <c r="CD5" s="46">
        <f t="shared" ref="CD5:CD18" si="18">SUM(BR5:CC5)</f>
        <v>214285.71428571432</v>
      </c>
      <c r="CE5" s="3"/>
      <c r="CF5" s="47" t="s">
        <v>40</v>
      </c>
      <c r="CG5" s="48"/>
      <c r="CH5" s="49"/>
      <c r="CI5" s="50"/>
      <c r="CJ5" s="51"/>
      <c r="CK5" s="3"/>
      <c r="CL5" s="3"/>
    </row>
    <row r="6" spans="1:90" ht="14.4" x14ac:dyDescent="0.3">
      <c r="A6" s="3"/>
      <c r="B6" s="3"/>
      <c r="C6" s="28"/>
      <c r="D6" s="29" t="s">
        <v>41</v>
      </c>
      <c r="E6" s="52"/>
      <c r="F6" s="53"/>
      <c r="G6" s="53"/>
      <c r="H6" s="54"/>
      <c r="I6" s="34"/>
      <c r="J6" s="52"/>
      <c r="K6" s="53"/>
      <c r="L6" s="53"/>
      <c r="M6" s="54"/>
      <c r="N6" s="35"/>
      <c r="O6" s="52"/>
      <c r="P6" s="53"/>
      <c r="Q6" s="53"/>
      <c r="R6" s="54"/>
      <c r="S6" s="40"/>
      <c r="T6" s="52"/>
      <c r="U6" s="53"/>
      <c r="V6" s="53"/>
      <c r="W6" s="54"/>
      <c r="X6" s="40"/>
      <c r="Y6" s="52"/>
      <c r="Z6" s="53"/>
      <c r="AA6" s="53"/>
      <c r="AB6" s="54"/>
      <c r="AC6" s="40"/>
      <c r="AD6" s="52"/>
      <c r="AE6" s="53"/>
      <c r="AF6" s="53"/>
      <c r="AG6" s="54"/>
      <c r="AH6" s="40"/>
      <c r="AI6" s="52"/>
      <c r="AJ6" s="53"/>
      <c r="AK6" s="53"/>
      <c r="AL6" s="54"/>
      <c r="AM6" s="55"/>
      <c r="AN6" s="56">
        <v>0</v>
      </c>
      <c r="AO6" s="57">
        <v>0</v>
      </c>
      <c r="AP6" s="57">
        <v>1</v>
      </c>
      <c r="AQ6" s="58">
        <v>1</v>
      </c>
      <c r="AR6" s="59">
        <f t="shared" si="0"/>
        <v>0.5</v>
      </c>
      <c r="AS6" s="52">
        <v>1</v>
      </c>
      <c r="AT6" s="57">
        <v>1</v>
      </c>
      <c r="AU6" s="57">
        <v>1</v>
      </c>
      <c r="AV6" s="58">
        <v>1</v>
      </c>
      <c r="AW6" s="59">
        <f t="shared" si="1"/>
        <v>1</v>
      </c>
      <c r="AX6" s="52">
        <v>1</v>
      </c>
      <c r="AY6" s="57">
        <v>1</v>
      </c>
      <c r="AZ6" s="57">
        <v>1</v>
      </c>
      <c r="BA6" s="58">
        <v>1</v>
      </c>
      <c r="BB6" s="60">
        <f t="shared" si="2"/>
        <v>1</v>
      </c>
      <c r="BC6" s="52">
        <v>1</v>
      </c>
      <c r="BD6" s="57">
        <v>1</v>
      </c>
      <c r="BE6" s="32">
        <v>1</v>
      </c>
      <c r="BF6" s="33">
        <v>1</v>
      </c>
      <c r="BG6" s="40">
        <f t="shared" si="3"/>
        <v>1</v>
      </c>
      <c r="BH6" s="30">
        <v>1</v>
      </c>
      <c r="BI6" s="32">
        <v>1</v>
      </c>
      <c r="BJ6" s="32">
        <v>1</v>
      </c>
      <c r="BK6" s="33">
        <v>1</v>
      </c>
      <c r="BL6" s="40">
        <f t="shared" si="4"/>
        <v>1</v>
      </c>
      <c r="BM6" s="3"/>
      <c r="BN6" s="41" t="s">
        <v>41</v>
      </c>
      <c r="BO6" s="42">
        <v>4000</v>
      </c>
      <c r="BP6" s="43">
        <v>25714.285714285714</v>
      </c>
      <c r="BQ6" s="44">
        <f t="shared" si="5"/>
        <v>115714.28571428571</v>
      </c>
      <c r="BR6" s="45">
        <f t="shared" si="6"/>
        <v>0</v>
      </c>
      <c r="BS6" s="46">
        <f t="shared" si="7"/>
        <v>0</v>
      </c>
      <c r="BT6" s="46">
        <f t="shared" si="8"/>
        <v>0</v>
      </c>
      <c r="BU6" s="46">
        <f t="shared" si="9"/>
        <v>0</v>
      </c>
      <c r="BV6" s="46">
        <f t="shared" si="10"/>
        <v>0</v>
      </c>
      <c r="BW6" s="46">
        <f t="shared" si="11"/>
        <v>0</v>
      </c>
      <c r="BX6" s="46">
        <f t="shared" si="12"/>
        <v>0</v>
      </c>
      <c r="BY6" s="46">
        <f t="shared" si="13"/>
        <v>12857.142857142857</v>
      </c>
      <c r="BZ6" s="46">
        <f t="shared" si="14"/>
        <v>25714.285714285714</v>
      </c>
      <c r="CA6" s="46">
        <f t="shared" si="15"/>
        <v>25714.285714285714</v>
      </c>
      <c r="CB6" s="46">
        <f t="shared" si="16"/>
        <v>25714.285714285714</v>
      </c>
      <c r="CC6" s="46">
        <f t="shared" si="17"/>
        <v>25714.285714285714</v>
      </c>
      <c r="CD6" s="46">
        <f t="shared" si="18"/>
        <v>115714.28571428571</v>
      </c>
      <c r="CE6" s="3"/>
      <c r="CF6" s="61" t="s">
        <v>42</v>
      </c>
      <c r="CG6" s="62"/>
      <c r="CH6" s="63"/>
      <c r="CI6" s="64"/>
      <c r="CJ6" s="65"/>
      <c r="CK6" s="3"/>
      <c r="CL6" s="3"/>
    </row>
    <row r="7" spans="1:90" ht="14.4" x14ac:dyDescent="0.3">
      <c r="A7" s="3"/>
      <c r="B7" s="3"/>
      <c r="C7" s="28"/>
      <c r="D7" s="66" t="s">
        <v>43</v>
      </c>
      <c r="E7" s="52"/>
      <c r="F7" s="53"/>
      <c r="G7" s="53"/>
      <c r="H7" s="54"/>
      <c r="I7" s="34"/>
      <c r="J7" s="52"/>
      <c r="K7" s="53"/>
      <c r="L7" s="53"/>
      <c r="M7" s="54"/>
      <c r="N7" s="35"/>
      <c r="O7" s="52"/>
      <c r="P7" s="53"/>
      <c r="Q7" s="53"/>
      <c r="R7" s="54"/>
      <c r="S7" s="40"/>
      <c r="T7" s="52"/>
      <c r="U7" s="53"/>
      <c r="V7" s="53"/>
      <c r="W7" s="54"/>
      <c r="X7" s="40"/>
      <c r="Y7" s="52"/>
      <c r="Z7" s="53"/>
      <c r="AA7" s="53"/>
      <c r="AB7" s="54"/>
      <c r="AC7" s="40"/>
      <c r="AD7" s="52"/>
      <c r="AE7" s="53"/>
      <c r="AF7" s="53"/>
      <c r="AG7" s="54"/>
      <c r="AH7" s="40"/>
      <c r="AI7" s="52"/>
      <c r="AJ7" s="53"/>
      <c r="AK7" s="53"/>
      <c r="AL7" s="54"/>
      <c r="AM7" s="55"/>
      <c r="AN7" s="56">
        <v>1</v>
      </c>
      <c r="AO7" s="57">
        <v>1</v>
      </c>
      <c r="AP7" s="57">
        <v>1</v>
      </c>
      <c r="AQ7" s="58">
        <v>2</v>
      </c>
      <c r="AR7" s="59">
        <f t="shared" si="0"/>
        <v>1.25</v>
      </c>
      <c r="AS7" s="52">
        <v>2</v>
      </c>
      <c r="AT7" s="57">
        <v>2</v>
      </c>
      <c r="AU7" s="57">
        <v>2</v>
      </c>
      <c r="AV7" s="58">
        <v>2</v>
      </c>
      <c r="AW7" s="59">
        <f t="shared" si="1"/>
        <v>2</v>
      </c>
      <c r="AX7" s="52">
        <v>2</v>
      </c>
      <c r="AY7" s="57">
        <v>2</v>
      </c>
      <c r="AZ7" s="57">
        <v>2</v>
      </c>
      <c r="BA7" s="58">
        <v>2</v>
      </c>
      <c r="BB7" s="60">
        <f t="shared" si="2"/>
        <v>2</v>
      </c>
      <c r="BC7" s="52">
        <v>2</v>
      </c>
      <c r="BD7" s="57">
        <v>2</v>
      </c>
      <c r="BE7" s="32">
        <v>2</v>
      </c>
      <c r="BF7" s="33">
        <v>1</v>
      </c>
      <c r="BG7" s="40">
        <f t="shared" si="3"/>
        <v>1.75</v>
      </c>
      <c r="BH7" s="30">
        <v>1</v>
      </c>
      <c r="BI7" s="32">
        <v>1</v>
      </c>
      <c r="BJ7" s="32">
        <v>1</v>
      </c>
      <c r="BK7" s="33">
        <v>1</v>
      </c>
      <c r="BL7" s="40">
        <f t="shared" si="4"/>
        <v>1</v>
      </c>
      <c r="BM7" s="3"/>
      <c r="BN7" s="67" t="s">
        <v>43</v>
      </c>
      <c r="BO7" s="68">
        <v>3000</v>
      </c>
      <c r="BP7" s="43">
        <f t="shared" ref="BP7:BP18" si="19">+BO7/7*30</f>
        <v>12857.142857142857</v>
      </c>
      <c r="BQ7" s="44">
        <f t="shared" si="5"/>
        <v>102857.14285714286</v>
      </c>
      <c r="BR7" s="45">
        <f t="shared" si="6"/>
        <v>0</v>
      </c>
      <c r="BS7" s="46">
        <f t="shared" si="7"/>
        <v>0</v>
      </c>
      <c r="BT7" s="46">
        <f t="shared" si="8"/>
        <v>0</v>
      </c>
      <c r="BU7" s="46">
        <f t="shared" si="9"/>
        <v>0</v>
      </c>
      <c r="BV7" s="46">
        <f t="shared" si="10"/>
        <v>0</v>
      </c>
      <c r="BW7" s="46">
        <f t="shared" si="11"/>
        <v>0</v>
      </c>
      <c r="BX7" s="46">
        <f t="shared" si="12"/>
        <v>0</v>
      </c>
      <c r="BY7" s="46">
        <f t="shared" si="13"/>
        <v>16071.428571428571</v>
      </c>
      <c r="BZ7" s="46">
        <f t="shared" si="14"/>
        <v>25714.285714285714</v>
      </c>
      <c r="CA7" s="46">
        <f t="shared" si="15"/>
        <v>25714.285714285714</v>
      </c>
      <c r="CB7" s="46">
        <f t="shared" si="16"/>
        <v>22500</v>
      </c>
      <c r="CC7" s="46">
        <f t="shared" si="17"/>
        <v>12857.142857142857</v>
      </c>
      <c r="CD7" s="46">
        <f t="shared" si="18"/>
        <v>102857.14285714286</v>
      </c>
      <c r="CE7" s="3"/>
      <c r="CF7" s="61" t="s">
        <v>44</v>
      </c>
      <c r="CG7" s="62"/>
      <c r="CH7" s="63"/>
      <c r="CI7" s="64"/>
      <c r="CJ7" s="65"/>
      <c r="CK7" s="3"/>
      <c r="CL7" s="3"/>
    </row>
    <row r="8" spans="1:90" ht="14.4" x14ac:dyDescent="0.3">
      <c r="A8" s="3"/>
      <c r="B8" s="3"/>
      <c r="C8" s="28"/>
      <c r="D8" s="66" t="s">
        <v>45</v>
      </c>
      <c r="E8" s="52"/>
      <c r="F8" s="53"/>
      <c r="G8" s="53"/>
      <c r="H8" s="54"/>
      <c r="I8" s="34"/>
      <c r="J8" s="52"/>
      <c r="K8" s="53"/>
      <c r="L8" s="53"/>
      <c r="M8" s="54"/>
      <c r="N8" s="35"/>
      <c r="O8" s="52"/>
      <c r="P8" s="53"/>
      <c r="Q8" s="53"/>
      <c r="R8" s="54"/>
      <c r="S8" s="40"/>
      <c r="T8" s="52"/>
      <c r="U8" s="53"/>
      <c r="V8" s="53"/>
      <c r="W8" s="54"/>
      <c r="X8" s="40"/>
      <c r="Y8" s="52"/>
      <c r="Z8" s="53"/>
      <c r="AA8" s="53"/>
      <c r="AB8" s="54"/>
      <c r="AC8" s="40"/>
      <c r="AD8" s="52"/>
      <c r="AE8" s="53"/>
      <c r="AF8" s="53"/>
      <c r="AG8" s="54"/>
      <c r="AH8" s="40"/>
      <c r="AI8" s="52"/>
      <c r="AJ8" s="53"/>
      <c r="AK8" s="53"/>
      <c r="AL8" s="54"/>
      <c r="AM8" s="55"/>
      <c r="AN8" s="52">
        <v>1</v>
      </c>
      <c r="AO8" s="53">
        <v>1</v>
      </c>
      <c r="AP8" s="53">
        <v>1</v>
      </c>
      <c r="AQ8" s="54">
        <v>1</v>
      </c>
      <c r="AR8" s="69">
        <f t="shared" si="0"/>
        <v>1</v>
      </c>
      <c r="AS8" s="52">
        <v>1</v>
      </c>
      <c r="AT8" s="53">
        <v>1</v>
      </c>
      <c r="AU8" s="53">
        <v>1</v>
      </c>
      <c r="AV8" s="54">
        <v>1</v>
      </c>
      <c r="AW8" s="69">
        <f t="shared" si="1"/>
        <v>1</v>
      </c>
      <c r="AX8" s="52">
        <v>1</v>
      </c>
      <c r="AY8" s="53">
        <v>1</v>
      </c>
      <c r="AZ8" s="53">
        <v>1</v>
      </c>
      <c r="BA8" s="54">
        <v>1</v>
      </c>
      <c r="BB8" s="70">
        <f t="shared" si="2"/>
        <v>1</v>
      </c>
      <c r="BC8" s="52">
        <v>1</v>
      </c>
      <c r="BD8" s="53">
        <v>1</v>
      </c>
      <c r="BE8" s="53">
        <v>1</v>
      </c>
      <c r="BF8" s="54">
        <v>1</v>
      </c>
      <c r="BG8" s="71">
        <f t="shared" si="3"/>
        <v>1</v>
      </c>
      <c r="BH8" s="52">
        <v>0</v>
      </c>
      <c r="BI8" s="53">
        <v>0</v>
      </c>
      <c r="BJ8" s="53">
        <v>0</v>
      </c>
      <c r="BK8" s="54">
        <v>0</v>
      </c>
      <c r="BL8" s="40">
        <f t="shared" si="4"/>
        <v>0</v>
      </c>
      <c r="BM8" s="3"/>
      <c r="BN8" s="67" t="s">
        <v>45</v>
      </c>
      <c r="BO8" s="68">
        <v>2500</v>
      </c>
      <c r="BP8" s="43">
        <f t="shared" si="19"/>
        <v>10714.285714285716</v>
      </c>
      <c r="BQ8" s="44">
        <f t="shared" si="5"/>
        <v>42857.142857142862</v>
      </c>
      <c r="BR8" s="45">
        <f t="shared" si="6"/>
        <v>0</v>
      </c>
      <c r="BS8" s="46">
        <f t="shared" si="7"/>
        <v>0</v>
      </c>
      <c r="BT8" s="46">
        <f t="shared" si="8"/>
        <v>0</v>
      </c>
      <c r="BU8" s="46">
        <f t="shared" si="9"/>
        <v>0</v>
      </c>
      <c r="BV8" s="46">
        <f t="shared" si="10"/>
        <v>0</v>
      </c>
      <c r="BW8" s="46">
        <f t="shared" si="11"/>
        <v>0</v>
      </c>
      <c r="BX8" s="46">
        <f t="shared" si="12"/>
        <v>0</v>
      </c>
      <c r="BY8" s="46">
        <f t="shared" si="13"/>
        <v>10714.285714285716</v>
      </c>
      <c r="BZ8" s="46">
        <f t="shared" si="14"/>
        <v>10714.285714285716</v>
      </c>
      <c r="CA8" s="46">
        <f t="shared" si="15"/>
        <v>10714.285714285716</v>
      </c>
      <c r="CB8" s="46">
        <f t="shared" si="16"/>
        <v>10714.285714285716</v>
      </c>
      <c r="CC8" s="46">
        <f t="shared" si="17"/>
        <v>0</v>
      </c>
      <c r="CD8" s="46">
        <f t="shared" si="18"/>
        <v>42857.142857142862</v>
      </c>
      <c r="CE8" s="3"/>
      <c r="CF8" s="61" t="s">
        <v>46</v>
      </c>
      <c r="CG8" s="62"/>
      <c r="CH8" s="63"/>
      <c r="CI8" s="64"/>
      <c r="CJ8" s="65"/>
      <c r="CK8" s="3"/>
      <c r="CL8" s="3"/>
    </row>
    <row r="9" spans="1:90" ht="14.4" x14ac:dyDescent="0.3">
      <c r="A9" s="3"/>
      <c r="B9" s="3"/>
      <c r="C9" s="28"/>
      <c r="D9" s="66" t="s">
        <v>47</v>
      </c>
      <c r="E9" s="52"/>
      <c r="F9" s="53"/>
      <c r="G9" s="53"/>
      <c r="H9" s="54"/>
      <c r="I9" s="34"/>
      <c r="J9" s="52"/>
      <c r="K9" s="53"/>
      <c r="L9" s="53"/>
      <c r="M9" s="54"/>
      <c r="N9" s="35"/>
      <c r="O9" s="52"/>
      <c r="P9" s="53"/>
      <c r="Q9" s="53"/>
      <c r="R9" s="54"/>
      <c r="S9" s="40"/>
      <c r="T9" s="52"/>
      <c r="U9" s="53"/>
      <c r="V9" s="53"/>
      <c r="W9" s="54"/>
      <c r="X9" s="40"/>
      <c r="Y9" s="52"/>
      <c r="Z9" s="53"/>
      <c r="AA9" s="53"/>
      <c r="AB9" s="54"/>
      <c r="AC9" s="40"/>
      <c r="AD9" s="52"/>
      <c r="AE9" s="53"/>
      <c r="AF9" s="53"/>
      <c r="AG9" s="54"/>
      <c r="AH9" s="40"/>
      <c r="AI9" s="52"/>
      <c r="AJ9" s="53"/>
      <c r="AK9" s="53"/>
      <c r="AL9" s="54"/>
      <c r="AM9" s="55"/>
      <c r="AN9" s="52">
        <v>0</v>
      </c>
      <c r="AO9" s="53">
        <v>0</v>
      </c>
      <c r="AP9" s="53">
        <v>0</v>
      </c>
      <c r="AQ9" s="54">
        <v>2</v>
      </c>
      <c r="AR9" s="69">
        <f t="shared" si="0"/>
        <v>0.5</v>
      </c>
      <c r="AS9" s="52">
        <v>2</v>
      </c>
      <c r="AT9" s="53">
        <v>2</v>
      </c>
      <c r="AU9" s="53">
        <v>2</v>
      </c>
      <c r="AV9" s="54">
        <v>2</v>
      </c>
      <c r="AW9" s="69">
        <f t="shared" si="1"/>
        <v>2</v>
      </c>
      <c r="AX9" s="52">
        <v>2</v>
      </c>
      <c r="AY9" s="53">
        <v>2</v>
      </c>
      <c r="AZ9" s="53">
        <v>2</v>
      </c>
      <c r="BA9" s="54">
        <v>2</v>
      </c>
      <c r="BB9" s="60">
        <f t="shared" si="2"/>
        <v>2</v>
      </c>
      <c r="BC9" s="52">
        <v>2</v>
      </c>
      <c r="BD9" s="53">
        <v>2</v>
      </c>
      <c r="BE9" s="53"/>
      <c r="BF9" s="53"/>
      <c r="BG9" s="71">
        <f t="shared" si="3"/>
        <v>2</v>
      </c>
      <c r="BH9" s="52">
        <v>0</v>
      </c>
      <c r="BI9" s="53">
        <v>0</v>
      </c>
      <c r="BJ9" s="53">
        <v>0</v>
      </c>
      <c r="BK9" s="54">
        <v>0</v>
      </c>
      <c r="BL9" s="40">
        <f t="shared" si="4"/>
        <v>0</v>
      </c>
      <c r="BM9" s="3"/>
      <c r="BN9" s="67" t="s">
        <v>47</v>
      </c>
      <c r="BO9" s="68">
        <v>2200</v>
      </c>
      <c r="BP9" s="43">
        <f t="shared" si="19"/>
        <v>9428.5714285714275</v>
      </c>
      <c r="BQ9" s="44">
        <f t="shared" si="5"/>
        <v>61285.714285714275</v>
      </c>
      <c r="BR9" s="45">
        <f t="shared" si="6"/>
        <v>0</v>
      </c>
      <c r="BS9" s="46">
        <f t="shared" si="7"/>
        <v>0</v>
      </c>
      <c r="BT9" s="46">
        <f t="shared" si="8"/>
        <v>0</v>
      </c>
      <c r="BU9" s="46">
        <f t="shared" si="9"/>
        <v>0</v>
      </c>
      <c r="BV9" s="46">
        <f t="shared" si="10"/>
        <v>0</v>
      </c>
      <c r="BW9" s="46">
        <f t="shared" si="11"/>
        <v>0</v>
      </c>
      <c r="BX9" s="46">
        <f t="shared" si="12"/>
        <v>0</v>
      </c>
      <c r="BY9" s="46">
        <f t="shared" si="13"/>
        <v>4714.2857142857138</v>
      </c>
      <c r="BZ9" s="46">
        <f t="shared" si="14"/>
        <v>18857.142857142855</v>
      </c>
      <c r="CA9" s="46">
        <f t="shared" si="15"/>
        <v>18857.142857142855</v>
      </c>
      <c r="CB9" s="46">
        <f t="shared" si="16"/>
        <v>18857.142857142855</v>
      </c>
      <c r="CC9" s="46">
        <f t="shared" si="17"/>
        <v>0</v>
      </c>
      <c r="CD9" s="46">
        <f t="shared" si="18"/>
        <v>61285.714285714275</v>
      </c>
      <c r="CE9" s="3"/>
      <c r="CF9" s="61" t="s">
        <v>48</v>
      </c>
      <c r="CG9" s="62"/>
      <c r="CH9" s="63"/>
      <c r="CI9" s="64"/>
      <c r="CJ9" s="65"/>
      <c r="CK9" s="3"/>
      <c r="CL9" s="3"/>
    </row>
    <row r="10" spans="1:90" ht="14.4" x14ac:dyDescent="0.3">
      <c r="A10" s="3"/>
      <c r="B10" s="3"/>
      <c r="C10" s="28"/>
      <c r="D10" s="66" t="s">
        <v>49</v>
      </c>
      <c r="E10" s="52"/>
      <c r="F10" s="53"/>
      <c r="G10" s="53"/>
      <c r="H10" s="54"/>
      <c r="I10" s="34"/>
      <c r="J10" s="52"/>
      <c r="K10" s="53"/>
      <c r="L10" s="53"/>
      <c r="M10" s="54"/>
      <c r="N10" s="35"/>
      <c r="O10" s="52"/>
      <c r="P10" s="53"/>
      <c r="Q10" s="53"/>
      <c r="R10" s="54"/>
      <c r="S10" s="40"/>
      <c r="T10" s="52"/>
      <c r="U10" s="53"/>
      <c r="V10" s="53"/>
      <c r="W10" s="54"/>
      <c r="X10" s="40"/>
      <c r="Y10" s="52"/>
      <c r="Z10" s="53"/>
      <c r="AA10" s="53"/>
      <c r="AB10" s="54"/>
      <c r="AC10" s="40"/>
      <c r="AD10" s="52"/>
      <c r="AE10" s="53"/>
      <c r="AF10" s="53"/>
      <c r="AG10" s="54"/>
      <c r="AH10" s="40"/>
      <c r="AI10" s="52"/>
      <c r="AJ10" s="53"/>
      <c r="AK10" s="53"/>
      <c r="AL10" s="54"/>
      <c r="AM10" s="55"/>
      <c r="AN10" s="52">
        <v>1</v>
      </c>
      <c r="AO10" s="53">
        <v>1</v>
      </c>
      <c r="AP10" s="53">
        <v>1</v>
      </c>
      <c r="AQ10" s="54">
        <v>1</v>
      </c>
      <c r="AR10" s="69">
        <f t="shared" si="0"/>
        <v>1</v>
      </c>
      <c r="AS10" s="52">
        <v>1</v>
      </c>
      <c r="AT10" s="53">
        <v>1</v>
      </c>
      <c r="AU10" s="53">
        <v>1</v>
      </c>
      <c r="AV10" s="54">
        <v>1</v>
      </c>
      <c r="AW10" s="69">
        <f t="shared" si="1"/>
        <v>1</v>
      </c>
      <c r="AX10" s="52">
        <v>1</v>
      </c>
      <c r="AY10" s="53">
        <v>1</v>
      </c>
      <c r="AZ10" s="53">
        <v>1</v>
      </c>
      <c r="BA10" s="54">
        <v>1</v>
      </c>
      <c r="BB10" s="70">
        <f t="shared" si="2"/>
        <v>1</v>
      </c>
      <c r="BC10" s="52">
        <v>1</v>
      </c>
      <c r="BD10" s="53">
        <v>1</v>
      </c>
      <c r="BE10" s="53">
        <v>1</v>
      </c>
      <c r="BF10" s="54">
        <v>1</v>
      </c>
      <c r="BG10" s="71">
        <f t="shared" si="3"/>
        <v>1</v>
      </c>
      <c r="BH10" s="52">
        <v>0</v>
      </c>
      <c r="BI10" s="53">
        <v>0</v>
      </c>
      <c r="BJ10" s="53">
        <v>0</v>
      </c>
      <c r="BK10" s="54">
        <v>0</v>
      </c>
      <c r="BL10" s="40">
        <f t="shared" si="4"/>
        <v>0</v>
      </c>
      <c r="BM10" s="3"/>
      <c r="BN10" s="67" t="s">
        <v>49</v>
      </c>
      <c r="BO10" s="68">
        <v>2500</v>
      </c>
      <c r="BP10" s="43">
        <f t="shared" si="19"/>
        <v>10714.285714285716</v>
      </c>
      <c r="BQ10" s="44">
        <f t="shared" si="5"/>
        <v>42857.142857142862</v>
      </c>
      <c r="BR10" s="45">
        <f t="shared" si="6"/>
        <v>0</v>
      </c>
      <c r="BS10" s="46">
        <f t="shared" si="7"/>
        <v>0</v>
      </c>
      <c r="BT10" s="46">
        <f t="shared" si="8"/>
        <v>0</v>
      </c>
      <c r="BU10" s="46">
        <f t="shared" si="9"/>
        <v>0</v>
      </c>
      <c r="BV10" s="46">
        <f t="shared" si="10"/>
        <v>0</v>
      </c>
      <c r="BW10" s="46">
        <f t="shared" si="11"/>
        <v>0</v>
      </c>
      <c r="BX10" s="46">
        <f t="shared" si="12"/>
        <v>0</v>
      </c>
      <c r="BY10" s="46">
        <f t="shared" si="13"/>
        <v>10714.285714285716</v>
      </c>
      <c r="BZ10" s="46">
        <f t="shared" si="14"/>
        <v>10714.285714285716</v>
      </c>
      <c r="CA10" s="46">
        <f t="shared" si="15"/>
        <v>10714.285714285716</v>
      </c>
      <c r="CB10" s="46">
        <f t="shared" si="16"/>
        <v>10714.285714285716</v>
      </c>
      <c r="CC10" s="46">
        <f t="shared" si="17"/>
        <v>0</v>
      </c>
      <c r="CD10" s="46">
        <f t="shared" si="18"/>
        <v>42857.142857142862</v>
      </c>
      <c r="CE10" s="3"/>
      <c r="CF10" s="61" t="s">
        <v>50</v>
      </c>
      <c r="CG10" s="62"/>
      <c r="CH10" s="63"/>
      <c r="CI10" s="64"/>
      <c r="CJ10" s="65"/>
      <c r="CK10" s="72" t="s">
        <v>51</v>
      </c>
      <c r="CL10" s="3"/>
    </row>
    <row r="11" spans="1:90" ht="14.4" x14ac:dyDescent="0.3">
      <c r="A11" s="3"/>
      <c r="B11" s="3"/>
      <c r="C11" s="28"/>
      <c r="D11" s="66" t="s">
        <v>52</v>
      </c>
      <c r="E11" s="52"/>
      <c r="F11" s="53"/>
      <c r="G11" s="57"/>
      <c r="H11" s="58"/>
      <c r="I11" s="34"/>
      <c r="J11" s="52"/>
      <c r="K11" s="57"/>
      <c r="L11" s="57"/>
      <c r="M11" s="58"/>
      <c r="N11" s="35"/>
      <c r="O11" s="52"/>
      <c r="P11" s="57"/>
      <c r="Q11" s="57"/>
      <c r="R11" s="58"/>
      <c r="S11" s="40"/>
      <c r="T11" s="52"/>
      <c r="U11" s="57"/>
      <c r="V11" s="57"/>
      <c r="W11" s="58"/>
      <c r="X11" s="40"/>
      <c r="Y11" s="52"/>
      <c r="Z11" s="57"/>
      <c r="AA11" s="57"/>
      <c r="AB11" s="58"/>
      <c r="AC11" s="40"/>
      <c r="AD11" s="52"/>
      <c r="AE11" s="57"/>
      <c r="AF11" s="57"/>
      <c r="AG11" s="58"/>
      <c r="AH11" s="40"/>
      <c r="AI11" s="52"/>
      <c r="AJ11" s="57"/>
      <c r="AK11" s="57"/>
      <c r="AL11" s="58"/>
      <c r="AM11" s="55"/>
      <c r="AN11" s="56">
        <v>0</v>
      </c>
      <c r="AO11" s="57">
        <v>0</v>
      </c>
      <c r="AP11" s="57">
        <v>2</v>
      </c>
      <c r="AQ11" s="58">
        <v>2</v>
      </c>
      <c r="AR11" s="69">
        <f t="shared" si="0"/>
        <v>1</v>
      </c>
      <c r="AS11" s="52">
        <v>2</v>
      </c>
      <c r="AT11" s="57">
        <v>2</v>
      </c>
      <c r="AU11" s="57">
        <v>2</v>
      </c>
      <c r="AV11" s="58">
        <v>2</v>
      </c>
      <c r="AW11" s="69">
        <f t="shared" si="1"/>
        <v>2</v>
      </c>
      <c r="AX11" s="52">
        <v>2</v>
      </c>
      <c r="AY11" s="57">
        <v>2</v>
      </c>
      <c r="AZ11" s="57">
        <v>2</v>
      </c>
      <c r="BA11" s="58">
        <v>2</v>
      </c>
      <c r="BB11" s="70">
        <f t="shared" si="2"/>
        <v>2</v>
      </c>
      <c r="BC11" s="52">
        <v>2</v>
      </c>
      <c r="BD11" s="57">
        <v>2</v>
      </c>
      <c r="BE11" s="57">
        <v>2</v>
      </c>
      <c r="BF11" s="58">
        <v>2</v>
      </c>
      <c r="BG11" s="71">
        <f t="shared" si="3"/>
        <v>2</v>
      </c>
      <c r="BH11" s="52">
        <v>0</v>
      </c>
      <c r="BI11" s="57">
        <v>0</v>
      </c>
      <c r="BJ11" s="57">
        <v>0</v>
      </c>
      <c r="BK11" s="58">
        <v>0</v>
      </c>
      <c r="BL11" s="40">
        <f t="shared" si="4"/>
        <v>0</v>
      </c>
      <c r="BM11" s="3"/>
      <c r="BN11" s="67" t="s">
        <v>52</v>
      </c>
      <c r="BO11" s="68">
        <v>2200</v>
      </c>
      <c r="BP11" s="43">
        <f t="shared" si="19"/>
        <v>9428.5714285714275</v>
      </c>
      <c r="BQ11" s="44">
        <f t="shared" si="5"/>
        <v>66000</v>
      </c>
      <c r="BR11" s="45"/>
      <c r="BS11" s="46"/>
      <c r="BT11" s="46">
        <f t="shared" si="8"/>
        <v>0</v>
      </c>
      <c r="BU11" s="46">
        <f t="shared" si="9"/>
        <v>0</v>
      </c>
      <c r="BV11" s="46">
        <f t="shared" si="10"/>
        <v>0</v>
      </c>
      <c r="BW11" s="46">
        <f t="shared" si="11"/>
        <v>0</v>
      </c>
      <c r="BX11" s="46">
        <f t="shared" si="12"/>
        <v>0</v>
      </c>
      <c r="BY11" s="46">
        <f t="shared" si="13"/>
        <v>9428.5714285714275</v>
      </c>
      <c r="BZ11" s="46">
        <f t="shared" si="14"/>
        <v>18857.142857142855</v>
      </c>
      <c r="CA11" s="46">
        <f t="shared" si="15"/>
        <v>18857.142857142855</v>
      </c>
      <c r="CB11" s="46">
        <f t="shared" si="16"/>
        <v>18857.142857142855</v>
      </c>
      <c r="CC11" s="46">
        <f t="shared" si="17"/>
        <v>0</v>
      </c>
      <c r="CD11" s="46">
        <f t="shared" si="18"/>
        <v>66000</v>
      </c>
      <c r="CE11" s="3"/>
      <c r="CF11" s="61" t="s">
        <v>53</v>
      </c>
      <c r="CG11" s="62"/>
      <c r="CH11" s="63"/>
      <c r="CI11" s="64"/>
      <c r="CJ11" s="65"/>
      <c r="CK11" s="3"/>
      <c r="CL11" s="3"/>
    </row>
    <row r="12" spans="1:90" ht="14.4" x14ac:dyDescent="0.3">
      <c r="A12" s="3"/>
      <c r="B12" s="3"/>
      <c r="C12" s="28"/>
      <c r="D12" s="66" t="s">
        <v>54</v>
      </c>
      <c r="E12" s="52"/>
      <c r="F12" s="53"/>
      <c r="G12" s="57"/>
      <c r="H12" s="58"/>
      <c r="I12" s="34"/>
      <c r="J12" s="52"/>
      <c r="K12" s="57"/>
      <c r="L12" s="57"/>
      <c r="M12" s="58"/>
      <c r="N12" s="35"/>
      <c r="O12" s="52"/>
      <c r="P12" s="57"/>
      <c r="Q12" s="57"/>
      <c r="R12" s="58"/>
      <c r="S12" s="40"/>
      <c r="T12" s="52"/>
      <c r="U12" s="57"/>
      <c r="V12" s="57"/>
      <c r="W12" s="58"/>
      <c r="X12" s="40"/>
      <c r="Y12" s="52"/>
      <c r="Z12" s="57"/>
      <c r="AA12" s="57"/>
      <c r="AB12" s="58"/>
      <c r="AC12" s="40"/>
      <c r="AD12" s="52"/>
      <c r="AE12" s="57"/>
      <c r="AF12" s="57"/>
      <c r="AG12" s="58"/>
      <c r="AH12" s="40"/>
      <c r="AI12" s="52"/>
      <c r="AJ12" s="57"/>
      <c r="AK12" s="57"/>
      <c r="AL12" s="58"/>
      <c r="AM12" s="55"/>
      <c r="AN12" s="56">
        <v>3</v>
      </c>
      <c r="AO12" s="57">
        <v>3</v>
      </c>
      <c r="AP12" s="57">
        <v>3</v>
      </c>
      <c r="AQ12" s="58">
        <v>3</v>
      </c>
      <c r="AR12" s="69">
        <f t="shared" si="0"/>
        <v>3</v>
      </c>
      <c r="AS12" s="52">
        <v>3</v>
      </c>
      <c r="AT12" s="57">
        <v>3</v>
      </c>
      <c r="AU12" s="57">
        <v>3</v>
      </c>
      <c r="AV12" s="58">
        <v>3</v>
      </c>
      <c r="AW12" s="69">
        <f t="shared" si="1"/>
        <v>3</v>
      </c>
      <c r="AX12" s="52">
        <v>3</v>
      </c>
      <c r="AY12" s="57">
        <v>3</v>
      </c>
      <c r="AZ12" s="57">
        <v>3</v>
      </c>
      <c r="BA12" s="58">
        <v>3</v>
      </c>
      <c r="BB12" s="70">
        <f t="shared" si="2"/>
        <v>3</v>
      </c>
      <c r="BC12" s="52">
        <v>3</v>
      </c>
      <c r="BD12" s="57">
        <v>3</v>
      </c>
      <c r="BE12" s="57">
        <v>4</v>
      </c>
      <c r="BF12" s="58">
        <v>2</v>
      </c>
      <c r="BG12" s="71">
        <f t="shared" si="3"/>
        <v>3</v>
      </c>
      <c r="BH12" s="52">
        <v>2</v>
      </c>
      <c r="BI12" s="57">
        <v>2</v>
      </c>
      <c r="BJ12" s="57">
        <v>2</v>
      </c>
      <c r="BK12" s="58">
        <v>2</v>
      </c>
      <c r="BL12" s="40">
        <f t="shared" si="4"/>
        <v>2</v>
      </c>
      <c r="BM12" s="3"/>
      <c r="BN12" s="67" t="s">
        <v>54</v>
      </c>
      <c r="BO12" s="68">
        <v>2200</v>
      </c>
      <c r="BP12" s="43">
        <f t="shared" si="19"/>
        <v>9428.5714285714275</v>
      </c>
      <c r="BQ12" s="44">
        <f t="shared" si="5"/>
        <v>132000</v>
      </c>
      <c r="BR12" s="45">
        <f t="shared" ref="BR12:BR18" si="20">+I12*$BP12</f>
        <v>0</v>
      </c>
      <c r="BS12" s="46">
        <f t="shared" ref="BS12:BS18" si="21">+N12*$BP12</f>
        <v>0</v>
      </c>
      <c r="BT12" s="46">
        <f t="shared" si="8"/>
        <v>0</v>
      </c>
      <c r="BU12" s="46">
        <f t="shared" si="9"/>
        <v>0</v>
      </c>
      <c r="BV12" s="46">
        <f t="shared" si="10"/>
        <v>0</v>
      </c>
      <c r="BW12" s="46">
        <f t="shared" si="11"/>
        <v>0</v>
      </c>
      <c r="BX12" s="46">
        <f t="shared" si="12"/>
        <v>0</v>
      </c>
      <c r="BY12" s="46">
        <f t="shared" si="13"/>
        <v>28285.714285714283</v>
      </c>
      <c r="BZ12" s="46">
        <f t="shared" si="14"/>
        <v>28285.714285714283</v>
      </c>
      <c r="CA12" s="46">
        <f t="shared" si="15"/>
        <v>28285.714285714283</v>
      </c>
      <c r="CB12" s="46">
        <f t="shared" si="16"/>
        <v>28285.714285714283</v>
      </c>
      <c r="CC12" s="46">
        <f t="shared" si="17"/>
        <v>18857.142857142855</v>
      </c>
      <c r="CD12" s="46">
        <f t="shared" si="18"/>
        <v>132000</v>
      </c>
      <c r="CE12" s="3"/>
      <c r="CF12" s="61" t="s">
        <v>55</v>
      </c>
      <c r="CG12" s="62">
        <f>AVERAGE(AN19:AQ19)</f>
        <v>13.25</v>
      </c>
      <c r="CH12" s="63">
        <f t="shared" ref="CH12:CH16" si="22">+CG$3/CG12</f>
        <v>9.2150943396226417</v>
      </c>
      <c r="CI12" s="64">
        <f>+BY19</f>
        <v>178928.57142857142</v>
      </c>
      <c r="CJ12" s="65">
        <f t="shared" ref="CJ12:CJ16" si="23">+CI12/CG$3</f>
        <v>1465.4264654264655</v>
      </c>
      <c r="CK12" s="3"/>
      <c r="CL12" s="3"/>
    </row>
    <row r="13" spans="1:90" ht="14.4" x14ac:dyDescent="0.3">
      <c r="A13" s="3"/>
      <c r="B13" s="3"/>
      <c r="C13" s="28"/>
      <c r="D13" s="66" t="s">
        <v>56</v>
      </c>
      <c r="E13" s="52"/>
      <c r="F13" s="53"/>
      <c r="G13" s="57"/>
      <c r="H13" s="58"/>
      <c r="I13" s="34"/>
      <c r="J13" s="52"/>
      <c r="K13" s="57"/>
      <c r="L13" s="57"/>
      <c r="M13" s="58"/>
      <c r="N13" s="35"/>
      <c r="O13" s="52"/>
      <c r="P13" s="57"/>
      <c r="Q13" s="57"/>
      <c r="R13" s="58"/>
      <c r="S13" s="40"/>
      <c r="T13" s="52"/>
      <c r="U13" s="57"/>
      <c r="V13" s="57"/>
      <c r="W13" s="58"/>
      <c r="X13" s="40"/>
      <c r="Y13" s="52"/>
      <c r="Z13" s="57"/>
      <c r="AA13" s="57"/>
      <c r="AB13" s="58"/>
      <c r="AC13" s="40"/>
      <c r="AD13" s="52"/>
      <c r="AE13" s="57"/>
      <c r="AF13" s="57"/>
      <c r="AG13" s="58"/>
      <c r="AH13" s="40"/>
      <c r="AI13" s="52"/>
      <c r="AJ13" s="57"/>
      <c r="AK13" s="57"/>
      <c r="AL13" s="58"/>
      <c r="AM13" s="55"/>
      <c r="AN13" s="56">
        <v>0</v>
      </c>
      <c r="AO13" s="57">
        <v>0</v>
      </c>
      <c r="AP13" s="57">
        <v>1</v>
      </c>
      <c r="AQ13" s="58">
        <v>1</v>
      </c>
      <c r="AR13" s="69">
        <f t="shared" si="0"/>
        <v>0.5</v>
      </c>
      <c r="AS13" s="52">
        <v>1</v>
      </c>
      <c r="AT13" s="57">
        <v>1</v>
      </c>
      <c r="AU13" s="57">
        <v>1</v>
      </c>
      <c r="AV13" s="58">
        <v>1</v>
      </c>
      <c r="AW13" s="69">
        <f t="shared" si="1"/>
        <v>1</v>
      </c>
      <c r="AX13" s="52">
        <v>1</v>
      </c>
      <c r="AY13" s="57">
        <v>1</v>
      </c>
      <c r="AZ13" s="57">
        <v>1</v>
      </c>
      <c r="BA13" s="58">
        <v>1</v>
      </c>
      <c r="BB13" s="70">
        <f t="shared" si="2"/>
        <v>1</v>
      </c>
      <c r="BC13" s="52">
        <v>1</v>
      </c>
      <c r="BD13" s="57">
        <v>1</v>
      </c>
      <c r="BE13" s="57">
        <v>1</v>
      </c>
      <c r="BF13" s="58">
        <v>0</v>
      </c>
      <c r="BG13" s="71">
        <f t="shared" si="3"/>
        <v>0.75</v>
      </c>
      <c r="BH13" s="52">
        <v>0</v>
      </c>
      <c r="BI13" s="57">
        <v>0</v>
      </c>
      <c r="BJ13" s="57">
        <v>0</v>
      </c>
      <c r="BK13" s="58">
        <v>0</v>
      </c>
      <c r="BL13" s="40">
        <f t="shared" si="4"/>
        <v>0</v>
      </c>
      <c r="BM13" s="3"/>
      <c r="BN13" s="67" t="s">
        <v>56</v>
      </c>
      <c r="BO13" s="68">
        <v>2000</v>
      </c>
      <c r="BP13" s="43">
        <f t="shared" si="19"/>
        <v>8571.4285714285725</v>
      </c>
      <c r="BQ13" s="44">
        <f t="shared" si="5"/>
        <v>27857.142857142862</v>
      </c>
      <c r="BR13" s="45">
        <f t="shared" si="20"/>
        <v>0</v>
      </c>
      <c r="BS13" s="46">
        <f t="shared" si="21"/>
        <v>0</v>
      </c>
      <c r="BT13" s="46">
        <f t="shared" si="8"/>
        <v>0</v>
      </c>
      <c r="BU13" s="46">
        <f t="shared" si="9"/>
        <v>0</v>
      </c>
      <c r="BV13" s="46">
        <f t="shared" si="10"/>
        <v>0</v>
      </c>
      <c r="BW13" s="46">
        <f t="shared" si="11"/>
        <v>0</v>
      </c>
      <c r="BX13" s="46">
        <f t="shared" si="12"/>
        <v>0</v>
      </c>
      <c r="BY13" s="46">
        <f t="shared" si="13"/>
        <v>4285.7142857142862</v>
      </c>
      <c r="BZ13" s="46">
        <f t="shared" si="14"/>
        <v>8571.4285714285725</v>
      </c>
      <c r="CA13" s="46">
        <f t="shared" si="15"/>
        <v>8571.4285714285725</v>
      </c>
      <c r="CB13" s="46">
        <f t="shared" si="16"/>
        <v>6428.5714285714294</v>
      </c>
      <c r="CC13" s="46">
        <f t="shared" si="17"/>
        <v>0</v>
      </c>
      <c r="CD13" s="46">
        <f t="shared" si="18"/>
        <v>27857.142857142862</v>
      </c>
      <c r="CE13" s="3"/>
      <c r="CF13" s="61" t="s">
        <v>57</v>
      </c>
      <c r="CG13" s="62">
        <f>AVERAGE(AS19:AV19)</f>
        <v>18</v>
      </c>
      <c r="CH13" s="63">
        <f t="shared" si="22"/>
        <v>6.7833333333333332</v>
      </c>
      <c r="CI13" s="64">
        <f>+BZ19</f>
        <v>210428.57142857142</v>
      </c>
      <c r="CJ13" s="65">
        <f t="shared" si="23"/>
        <v>1723.4117234117234</v>
      </c>
      <c r="CK13" s="3"/>
      <c r="CL13" s="3"/>
    </row>
    <row r="14" spans="1:90" ht="14.4" x14ac:dyDescent="0.3">
      <c r="A14" s="3"/>
      <c r="B14" s="3"/>
      <c r="C14" s="28"/>
      <c r="D14" s="66" t="s">
        <v>58</v>
      </c>
      <c r="E14" s="52"/>
      <c r="F14" s="53"/>
      <c r="G14" s="57"/>
      <c r="H14" s="58"/>
      <c r="I14" s="34"/>
      <c r="J14" s="52"/>
      <c r="K14" s="57"/>
      <c r="L14" s="57"/>
      <c r="M14" s="58"/>
      <c r="N14" s="35"/>
      <c r="O14" s="52"/>
      <c r="P14" s="57"/>
      <c r="Q14" s="57"/>
      <c r="R14" s="58"/>
      <c r="S14" s="40"/>
      <c r="T14" s="52"/>
      <c r="U14" s="57"/>
      <c r="V14" s="57"/>
      <c r="W14" s="58"/>
      <c r="X14" s="40"/>
      <c r="Y14" s="52"/>
      <c r="Z14" s="57"/>
      <c r="AA14" s="57"/>
      <c r="AB14" s="58"/>
      <c r="AC14" s="40"/>
      <c r="AD14" s="52"/>
      <c r="AE14" s="57"/>
      <c r="AF14" s="57"/>
      <c r="AG14" s="58"/>
      <c r="AH14" s="40"/>
      <c r="AI14" s="52"/>
      <c r="AJ14" s="57"/>
      <c r="AK14" s="57"/>
      <c r="AL14" s="58"/>
      <c r="AM14" s="55"/>
      <c r="AN14" s="56">
        <v>0</v>
      </c>
      <c r="AO14" s="57">
        <v>0</v>
      </c>
      <c r="AP14" s="57">
        <v>0</v>
      </c>
      <c r="AQ14" s="58">
        <v>0</v>
      </c>
      <c r="AR14" s="69">
        <v>1</v>
      </c>
      <c r="AS14" s="52">
        <v>0</v>
      </c>
      <c r="AT14" s="57">
        <v>0</v>
      </c>
      <c r="AU14" s="57">
        <v>0</v>
      </c>
      <c r="AV14" s="58">
        <v>0</v>
      </c>
      <c r="AW14" s="69">
        <v>1</v>
      </c>
      <c r="AX14" s="52">
        <v>0</v>
      </c>
      <c r="AY14" s="57">
        <v>0</v>
      </c>
      <c r="AZ14" s="57">
        <v>0</v>
      </c>
      <c r="BA14" s="58">
        <v>0</v>
      </c>
      <c r="BB14" s="70">
        <v>1</v>
      </c>
      <c r="BC14" s="52">
        <v>0</v>
      </c>
      <c r="BD14" s="57">
        <v>0</v>
      </c>
      <c r="BE14" s="57">
        <v>0</v>
      </c>
      <c r="BF14" s="58">
        <v>0</v>
      </c>
      <c r="BG14" s="71">
        <v>1</v>
      </c>
      <c r="BH14" s="52">
        <v>0</v>
      </c>
      <c r="BI14" s="57">
        <v>0</v>
      </c>
      <c r="BJ14" s="57">
        <v>0</v>
      </c>
      <c r="BK14" s="58">
        <v>0</v>
      </c>
      <c r="BL14" s="40">
        <f t="shared" si="4"/>
        <v>0</v>
      </c>
      <c r="BM14" s="3"/>
      <c r="BN14" s="67" t="s">
        <v>58</v>
      </c>
      <c r="BO14" s="68">
        <v>0</v>
      </c>
      <c r="BP14" s="43">
        <f t="shared" si="19"/>
        <v>0</v>
      </c>
      <c r="BQ14" s="44">
        <f t="shared" si="5"/>
        <v>0</v>
      </c>
      <c r="BR14" s="45">
        <f t="shared" si="20"/>
        <v>0</v>
      </c>
      <c r="BS14" s="46">
        <f t="shared" si="21"/>
        <v>0</v>
      </c>
      <c r="BT14" s="46">
        <f t="shared" si="8"/>
        <v>0</v>
      </c>
      <c r="BU14" s="46">
        <f t="shared" si="9"/>
        <v>0</v>
      </c>
      <c r="BV14" s="46">
        <f t="shared" si="10"/>
        <v>0</v>
      </c>
      <c r="BW14" s="46">
        <f t="shared" si="11"/>
        <v>0</v>
      </c>
      <c r="BX14" s="46">
        <f t="shared" si="12"/>
        <v>0</v>
      </c>
      <c r="BY14" s="46">
        <f t="shared" si="13"/>
        <v>0</v>
      </c>
      <c r="BZ14" s="46">
        <f t="shared" si="14"/>
        <v>0</v>
      </c>
      <c r="CA14" s="46">
        <f t="shared" si="15"/>
        <v>0</v>
      </c>
      <c r="CB14" s="46">
        <f t="shared" si="16"/>
        <v>0</v>
      </c>
      <c r="CC14" s="46">
        <f t="shared" si="17"/>
        <v>0</v>
      </c>
      <c r="CD14" s="46">
        <f t="shared" si="18"/>
        <v>0</v>
      </c>
      <c r="CE14" s="3"/>
      <c r="CF14" s="61" t="s">
        <v>59</v>
      </c>
      <c r="CG14" s="62">
        <f>AVERAGE(AX19:BA19)</f>
        <v>20.25</v>
      </c>
      <c r="CH14" s="63">
        <f t="shared" si="22"/>
        <v>6.0296296296296292</v>
      </c>
      <c r="CI14" s="64">
        <f>+CA19</f>
        <v>231642.85714285713</v>
      </c>
      <c r="CJ14" s="65">
        <f t="shared" si="23"/>
        <v>1897.1568971568972</v>
      </c>
      <c r="CK14" s="3"/>
      <c r="CL14" s="3"/>
    </row>
    <row r="15" spans="1:90" ht="14.4" x14ac:dyDescent="0.3">
      <c r="A15" s="3"/>
      <c r="B15" s="3"/>
      <c r="C15" s="28"/>
      <c r="D15" s="66" t="s">
        <v>60</v>
      </c>
      <c r="E15" s="52"/>
      <c r="F15" s="53"/>
      <c r="G15" s="57"/>
      <c r="H15" s="58"/>
      <c r="I15" s="34"/>
      <c r="J15" s="52"/>
      <c r="K15" s="57"/>
      <c r="L15" s="57"/>
      <c r="M15" s="58"/>
      <c r="N15" s="35"/>
      <c r="O15" s="52"/>
      <c r="P15" s="57"/>
      <c r="Q15" s="57"/>
      <c r="R15" s="58"/>
      <c r="S15" s="40"/>
      <c r="T15" s="52"/>
      <c r="U15" s="57"/>
      <c r="V15" s="57"/>
      <c r="W15" s="58"/>
      <c r="X15" s="40"/>
      <c r="Y15" s="52"/>
      <c r="Z15" s="57"/>
      <c r="AA15" s="57"/>
      <c r="AB15" s="58"/>
      <c r="AC15" s="40"/>
      <c r="AD15" s="52"/>
      <c r="AE15" s="57"/>
      <c r="AF15" s="57"/>
      <c r="AG15" s="58"/>
      <c r="AH15" s="40"/>
      <c r="AI15" s="52"/>
      <c r="AJ15" s="57"/>
      <c r="AK15" s="57"/>
      <c r="AL15" s="58"/>
      <c r="AM15" s="55"/>
      <c r="AN15" s="56">
        <v>2</v>
      </c>
      <c r="AO15" s="57">
        <v>2</v>
      </c>
      <c r="AP15" s="57">
        <v>3</v>
      </c>
      <c r="AQ15" s="58">
        <v>3</v>
      </c>
      <c r="AR15" s="69">
        <v>3</v>
      </c>
      <c r="AS15" s="52">
        <v>3</v>
      </c>
      <c r="AT15" s="57">
        <v>3</v>
      </c>
      <c r="AU15" s="57">
        <v>3</v>
      </c>
      <c r="AV15" s="58">
        <v>3</v>
      </c>
      <c r="AW15" s="69">
        <v>1</v>
      </c>
      <c r="AX15" s="52">
        <v>3</v>
      </c>
      <c r="AY15" s="57">
        <v>3</v>
      </c>
      <c r="AZ15" s="57">
        <v>3</v>
      </c>
      <c r="BA15" s="58">
        <v>3</v>
      </c>
      <c r="BB15" s="70">
        <v>1</v>
      </c>
      <c r="BC15" s="52">
        <v>3</v>
      </c>
      <c r="BD15" s="57">
        <v>2</v>
      </c>
      <c r="BE15" s="57">
        <v>1</v>
      </c>
      <c r="BF15" s="58">
        <v>0</v>
      </c>
      <c r="BG15" s="71">
        <v>1</v>
      </c>
      <c r="BH15" s="52">
        <v>0</v>
      </c>
      <c r="BI15" s="57">
        <v>0</v>
      </c>
      <c r="BJ15" s="57">
        <v>0</v>
      </c>
      <c r="BK15" s="58">
        <v>0</v>
      </c>
      <c r="BL15" s="40">
        <f t="shared" si="4"/>
        <v>0</v>
      </c>
      <c r="BM15" s="3"/>
      <c r="BN15" s="67" t="s">
        <v>60</v>
      </c>
      <c r="BO15" s="68">
        <v>2200</v>
      </c>
      <c r="BP15" s="43">
        <f t="shared" si="19"/>
        <v>9428.5714285714275</v>
      </c>
      <c r="BQ15" s="44">
        <f t="shared" si="5"/>
        <v>56571.428571428565</v>
      </c>
      <c r="BR15" s="45">
        <f t="shared" si="20"/>
        <v>0</v>
      </c>
      <c r="BS15" s="46">
        <f t="shared" si="21"/>
        <v>0</v>
      </c>
      <c r="BT15" s="46">
        <f t="shared" si="8"/>
        <v>0</v>
      </c>
      <c r="BU15" s="46">
        <f t="shared" si="9"/>
        <v>0</v>
      </c>
      <c r="BV15" s="46">
        <f t="shared" si="10"/>
        <v>0</v>
      </c>
      <c r="BW15" s="46">
        <f t="shared" si="11"/>
        <v>0</v>
      </c>
      <c r="BX15" s="46">
        <f t="shared" si="12"/>
        <v>0</v>
      </c>
      <c r="BY15" s="46">
        <f t="shared" si="13"/>
        <v>28285.714285714283</v>
      </c>
      <c r="BZ15" s="46">
        <f t="shared" si="14"/>
        <v>9428.5714285714275</v>
      </c>
      <c r="CA15" s="46">
        <f t="shared" si="15"/>
        <v>9428.5714285714275</v>
      </c>
      <c r="CB15" s="46">
        <f t="shared" si="16"/>
        <v>9428.5714285714275</v>
      </c>
      <c r="CC15" s="46">
        <f t="shared" si="17"/>
        <v>0</v>
      </c>
      <c r="CD15" s="46">
        <f t="shared" si="18"/>
        <v>56571.428571428565</v>
      </c>
      <c r="CE15" s="3"/>
      <c r="CF15" s="61" t="s">
        <v>61</v>
      </c>
      <c r="CG15" s="62">
        <f>AVERAGE(BC19:BF19)</f>
        <v>17.25</v>
      </c>
      <c r="CH15" s="63">
        <f t="shared" si="22"/>
        <v>7.0782608695652174</v>
      </c>
      <c r="CI15" s="64">
        <f>+CB19</f>
        <v>225642.85714285716</v>
      </c>
      <c r="CJ15" s="65">
        <f t="shared" si="23"/>
        <v>1848.0168480168481</v>
      </c>
      <c r="CK15" s="3"/>
      <c r="CL15" s="3"/>
    </row>
    <row r="16" spans="1:90" ht="14.4" x14ac:dyDescent="0.3">
      <c r="A16" s="3"/>
      <c r="B16" s="3"/>
      <c r="C16" s="28"/>
      <c r="D16" s="66" t="s">
        <v>62</v>
      </c>
      <c r="E16" s="52"/>
      <c r="F16" s="53"/>
      <c r="G16" s="57"/>
      <c r="H16" s="58"/>
      <c r="I16" s="34"/>
      <c r="J16" s="52"/>
      <c r="K16" s="57"/>
      <c r="L16" s="57"/>
      <c r="M16" s="58"/>
      <c r="N16" s="35"/>
      <c r="O16" s="52"/>
      <c r="P16" s="57"/>
      <c r="Q16" s="57"/>
      <c r="R16" s="58"/>
      <c r="S16" s="40"/>
      <c r="T16" s="52"/>
      <c r="U16" s="57"/>
      <c r="V16" s="57"/>
      <c r="W16" s="58"/>
      <c r="X16" s="40"/>
      <c r="Y16" s="52"/>
      <c r="Z16" s="57"/>
      <c r="AA16" s="57"/>
      <c r="AB16" s="58"/>
      <c r="AC16" s="40"/>
      <c r="AD16" s="52"/>
      <c r="AE16" s="57"/>
      <c r="AF16" s="57"/>
      <c r="AG16" s="58"/>
      <c r="AH16" s="40"/>
      <c r="AI16" s="52"/>
      <c r="AJ16" s="57"/>
      <c r="AK16" s="57"/>
      <c r="AL16" s="58"/>
      <c r="AM16" s="55"/>
      <c r="AN16" s="56">
        <v>1</v>
      </c>
      <c r="AO16" s="57">
        <v>1</v>
      </c>
      <c r="AP16" s="57">
        <v>1</v>
      </c>
      <c r="AQ16" s="58">
        <v>1</v>
      </c>
      <c r="AR16" s="69">
        <f>AVERAGE(AN16:AQ16)</f>
        <v>1</v>
      </c>
      <c r="AS16" s="56">
        <v>1</v>
      </c>
      <c r="AT16" s="57">
        <v>1</v>
      </c>
      <c r="AU16" s="57">
        <v>1</v>
      </c>
      <c r="AV16" s="58">
        <v>1</v>
      </c>
      <c r="AW16" s="69">
        <f t="shared" ref="AW16:AW17" si="24">AVERAGE(AS16:AV16)</f>
        <v>1</v>
      </c>
      <c r="AX16" s="56">
        <v>1</v>
      </c>
      <c r="AY16" s="57">
        <v>1</v>
      </c>
      <c r="AZ16" s="57">
        <v>1</v>
      </c>
      <c r="BA16" s="58">
        <v>1</v>
      </c>
      <c r="BB16" s="70">
        <f t="shared" ref="BB16:BB17" si="25">AVERAGE(AX16:BA16)</f>
        <v>1</v>
      </c>
      <c r="BC16" s="56">
        <v>1</v>
      </c>
      <c r="BD16" s="57">
        <v>1</v>
      </c>
      <c r="BE16" s="57">
        <v>0</v>
      </c>
      <c r="BF16" s="58">
        <v>0</v>
      </c>
      <c r="BG16" s="71">
        <f t="shared" ref="BG16:BG17" si="26">AVERAGE(BC16:BF16)</f>
        <v>0.5</v>
      </c>
      <c r="BH16" s="52">
        <v>0</v>
      </c>
      <c r="BI16" s="57">
        <v>0</v>
      </c>
      <c r="BJ16" s="57">
        <v>0</v>
      </c>
      <c r="BK16" s="58">
        <v>0</v>
      </c>
      <c r="BL16" s="40">
        <f t="shared" si="4"/>
        <v>0</v>
      </c>
      <c r="BM16" s="3"/>
      <c r="BN16" s="66" t="s">
        <v>62</v>
      </c>
      <c r="BO16" s="68">
        <v>2500</v>
      </c>
      <c r="BP16" s="43">
        <f t="shared" si="19"/>
        <v>10714.285714285716</v>
      </c>
      <c r="BQ16" s="44">
        <f t="shared" si="5"/>
        <v>37500</v>
      </c>
      <c r="BR16" s="45">
        <f t="shared" si="20"/>
        <v>0</v>
      </c>
      <c r="BS16" s="46">
        <f t="shared" si="21"/>
        <v>0</v>
      </c>
      <c r="BT16" s="46">
        <f t="shared" si="8"/>
        <v>0</v>
      </c>
      <c r="BU16" s="46">
        <f t="shared" si="9"/>
        <v>0</v>
      </c>
      <c r="BV16" s="46">
        <f t="shared" si="10"/>
        <v>0</v>
      </c>
      <c r="BW16" s="46">
        <f t="shared" si="11"/>
        <v>0</v>
      </c>
      <c r="BX16" s="46">
        <f t="shared" si="12"/>
        <v>0</v>
      </c>
      <c r="BY16" s="46">
        <f t="shared" si="13"/>
        <v>10714.285714285716</v>
      </c>
      <c r="BZ16" s="46">
        <f t="shared" si="14"/>
        <v>10714.285714285716</v>
      </c>
      <c r="CA16" s="46">
        <f t="shared" si="15"/>
        <v>10714.285714285716</v>
      </c>
      <c r="CB16" s="46">
        <f t="shared" si="16"/>
        <v>5357.1428571428578</v>
      </c>
      <c r="CC16" s="46">
        <f t="shared" si="17"/>
        <v>0</v>
      </c>
      <c r="CD16" s="46">
        <f t="shared" si="18"/>
        <v>37500</v>
      </c>
      <c r="CE16" s="3"/>
      <c r="CF16" s="73" t="s">
        <v>63</v>
      </c>
      <c r="CG16" s="74">
        <f>AVERAGE(BH19:BK19)</f>
        <v>6</v>
      </c>
      <c r="CH16" s="75">
        <f t="shared" si="22"/>
        <v>20.349999999999998</v>
      </c>
      <c r="CI16" s="76">
        <f>+CC19</f>
        <v>100285.71428571429</v>
      </c>
      <c r="CJ16" s="77">
        <f t="shared" si="23"/>
        <v>821.34082134082144</v>
      </c>
      <c r="CK16" s="78" t="s">
        <v>64</v>
      </c>
      <c r="CL16" s="3"/>
    </row>
    <row r="17" spans="1:90" ht="14.4" x14ac:dyDescent="0.3">
      <c r="A17" s="3"/>
      <c r="B17" s="3"/>
      <c r="C17" s="28"/>
      <c r="D17" s="66" t="s">
        <v>65</v>
      </c>
      <c r="E17" s="52"/>
      <c r="F17" s="53"/>
      <c r="G17" s="57"/>
      <c r="H17" s="58"/>
      <c r="I17" s="34"/>
      <c r="J17" s="52"/>
      <c r="K17" s="57"/>
      <c r="L17" s="57"/>
      <c r="M17" s="58"/>
      <c r="N17" s="35"/>
      <c r="O17" s="52"/>
      <c r="P17" s="57"/>
      <c r="Q17" s="57"/>
      <c r="R17" s="58"/>
      <c r="S17" s="40"/>
      <c r="T17" s="52"/>
      <c r="U17" s="57"/>
      <c r="V17" s="57"/>
      <c r="W17" s="58"/>
      <c r="X17" s="40"/>
      <c r="Y17" s="52"/>
      <c r="Z17" s="57"/>
      <c r="AA17" s="57"/>
      <c r="AB17" s="58"/>
      <c r="AC17" s="40"/>
      <c r="AD17" s="52"/>
      <c r="AE17" s="57"/>
      <c r="AF17" s="57"/>
      <c r="AG17" s="58"/>
      <c r="AH17" s="40"/>
      <c r="AI17" s="52"/>
      <c r="AJ17" s="57"/>
      <c r="AK17" s="57"/>
      <c r="AL17" s="58"/>
      <c r="AM17" s="55"/>
      <c r="AN17" s="56"/>
      <c r="AO17" s="57"/>
      <c r="AP17" s="57"/>
      <c r="AQ17" s="58"/>
      <c r="AR17" s="69"/>
      <c r="AS17" s="52">
        <v>0</v>
      </c>
      <c r="AT17" s="57"/>
      <c r="AU17" s="57" t="s">
        <v>66</v>
      </c>
      <c r="AV17" s="58" t="s">
        <v>66</v>
      </c>
      <c r="AW17" s="69">
        <f t="shared" si="24"/>
        <v>0</v>
      </c>
      <c r="AX17" s="52">
        <v>0</v>
      </c>
      <c r="AY17" s="57">
        <v>3</v>
      </c>
      <c r="AZ17" s="57">
        <v>3</v>
      </c>
      <c r="BA17" s="58">
        <v>3</v>
      </c>
      <c r="BB17" s="70">
        <f t="shared" si="25"/>
        <v>2.25</v>
      </c>
      <c r="BC17" s="52">
        <v>3</v>
      </c>
      <c r="BD17" s="57">
        <v>3</v>
      </c>
      <c r="BE17" s="57">
        <v>3</v>
      </c>
      <c r="BF17" s="58">
        <v>2</v>
      </c>
      <c r="BG17" s="71">
        <f t="shared" si="26"/>
        <v>2.75</v>
      </c>
      <c r="BH17" s="52">
        <v>1</v>
      </c>
      <c r="BI17" s="57">
        <v>1</v>
      </c>
      <c r="BJ17" s="57">
        <v>1</v>
      </c>
      <c r="BK17" s="58">
        <v>1</v>
      </c>
      <c r="BL17" s="40">
        <v>0</v>
      </c>
      <c r="BM17" s="3"/>
      <c r="BN17" s="67" t="s">
        <v>65</v>
      </c>
      <c r="BO17" s="68">
        <v>2200</v>
      </c>
      <c r="BP17" s="43">
        <f t="shared" si="19"/>
        <v>9428.5714285714275</v>
      </c>
      <c r="BQ17" s="44">
        <f t="shared" si="5"/>
        <v>47142.857142857138</v>
      </c>
      <c r="BR17" s="45">
        <f t="shared" si="20"/>
        <v>0</v>
      </c>
      <c r="BS17" s="46">
        <f t="shared" si="21"/>
        <v>0</v>
      </c>
      <c r="BT17" s="46">
        <f t="shared" si="8"/>
        <v>0</v>
      </c>
      <c r="BU17" s="46">
        <f t="shared" si="9"/>
        <v>0</v>
      </c>
      <c r="BV17" s="46">
        <f t="shared" si="10"/>
        <v>0</v>
      </c>
      <c r="BW17" s="46">
        <f t="shared" si="11"/>
        <v>0</v>
      </c>
      <c r="BX17" s="46">
        <f t="shared" si="12"/>
        <v>0</v>
      </c>
      <c r="BY17" s="46">
        <f t="shared" si="13"/>
        <v>0</v>
      </c>
      <c r="BZ17" s="46">
        <f t="shared" si="14"/>
        <v>0</v>
      </c>
      <c r="CA17" s="46">
        <f t="shared" si="15"/>
        <v>21214.28571428571</v>
      </c>
      <c r="CB17" s="46">
        <f t="shared" si="16"/>
        <v>25928.571428571428</v>
      </c>
      <c r="CC17" s="46">
        <f t="shared" si="17"/>
        <v>0</v>
      </c>
      <c r="CD17" s="46">
        <f t="shared" si="18"/>
        <v>47142.857142857138</v>
      </c>
      <c r="CE17" s="3"/>
      <c r="CF17" s="79" t="s">
        <v>67</v>
      </c>
      <c r="CG17" s="80"/>
      <c r="CH17" s="81"/>
      <c r="CI17" s="82">
        <f>SUM(CI5:CI16)</f>
        <v>946928.57142857148</v>
      </c>
      <c r="CJ17" s="83" t="s">
        <v>68</v>
      </c>
      <c r="CK17" s="28"/>
      <c r="CL17" s="3"/>
    </row>
    <row r="18" spans="1:90" ht="22.5" customHeight="1" x14ac:dyDescent="0.3">
      <c r="A18" s="3"/>
      <c r="B18" s="3"/>
      <c r="C18" s="28"/>
      <c r="D18" s="66" t="s">
        <v>69</v>
      </c>
      <c r="E18" s="84"/>
      <c r="F18" s="85"/>
      <c r="G18" s="85"/>
      <c r="H18" s="86"/>
      <c r="I18" s="87"/>
      <c r="J18" s="84"/>
      <c r="K18" s="85"/>
      <c r="L18" s="85"/>
      <c r="M18" s="86"/>
      <c r="N18" s="88"/>
      <c r="O18" s="84"/>
      <c r="P18" s="85"/>
      <c r="Q18" s="85"/>
      <c r="R18" s="86"/>
      <c r="S18" s="89"/>
      <c r="T18" s="84"/>
      <c r="U18" s="85"/>
      <c r="V18" s="85"/>
      <c r="W18" s="86"/>
      <c r="X18" s="89"/>
      <c r="Y18" s="84"/>
      <c r="Z18" s="85"/>
      <c r="AA18" s="85"/>
      <c r="AB18" s="86"/>
      <c r="AC18" s="89"/>
      <c r="AD18" s="84"/>
      <c r="AE18" s="85"/>
      <c r="AF18" s="85"/>
      <c r="AG18" s="86"/>
      <c r="AH18" s="89"/>
      <c r="AI18" s="84"/>
      <c r="AJ18" s="85"/>
      <c r="AK18" s="85"/>
      <c r="AL18" s="86"/>
      <c r="AM18" s="90"/>
      <c r="AN18" s="84">
        <v>0</v>
      </c>
      <c r="AO18" s="85">
        <v>0</v>
      </c>
      <c r="AP18" s="85">
        <v>0</v>
      </c>
      <c r="AQ18" s="86">
        <v>0</v>
      </c>
      <c r="AR18" s="91">
        <v>0</v>
      </c>
      <c r="AS18" s="84">
        <v>0</v>
      </c>
      <c r="AT18" s="85">
        <v>0</v>
      </c>
      <c r="AU18" s="85">
        <v>0</v>
      </c>
      <c r="AV18" s="86">
        <v>0</v>
      </c>
      <c r="AW18" s="91">
        <v>0</v>
      </c>
      <c r="AX18" s="84">
        <v>0</v>
      </c>
      <c r="AY18" s="85">
        <v>0</v>
      </c>
      <c r="AZ18" s="85">
        <v>0</v>
      </c>
      <c r="BA18" s="86">
        <v>0</v>
      </c>
      <c r="BB18" s="92">
        <v>0</v>
      </c>
      <c r="BC18" s="84">
        <v>0</v>
      </c>
      <c r="BD18" s="85">
        <v>0</v>
      </c>
      <c r="BE18" s="85">
        <v>0</v>
      </c>
      <c r="BF18" s="86">
        <v>0</v>
      </c>
      <c r="BG18" s="93">
        <v>0</v>
      </c>
      <c r="BH18" s="84">
        <v>0</v>
      </c>
      <c r="BI18" s="85">
        <v>0</v>
      </c>
      <c r="BJ18" s="85">
        <v>0</v>
      </c>
      <c r="BK18" s="86">
        <v>0</v>
      </c>
      <c r="BL18" s="89">
        <f t="shared" ref="BL18:BL20" si="27">AVERAGE(BH18:BK18)</f>
        <v>0</v>
      </c>
      <c r="BM18" s="3"/>
      <c r="BN18" s="67" t="s">
        <v>69</v>
      </c>
      <c r="BO18" s="68"/>
      <c r="BP18" s="43">
        <f t="shared" si="19"/>
        <v>0</v>
      </c>
      <c r="BQ18" s="44">
        <f t="shared" si="5"/>
        <v>0</v>
      </c>
      <c r="BR18" s="45">
        <f t="shared" si="20"/>
        <v>0</v>
      </c>
      <c r="BS18" s="46">
        <f t="shared" si="21"/>
        <v>0</v>
      </c>
      <c r="BT18" s="46">
        <f t="shared" si="8"/>
        <v>0</v>
      </c>
      <c r="BU18" s="46">
        <f t="shared" si="9"/>
        <v>0</v>
      </c>
      <c r="BV18" s="46">
        <f t="shared" si="10"/>
        <v>0</v>
      </c>
      <c r="BW18" s="46">
        <f t="shared" si="11"/>
        <v>0</v>
      </c>
      <c r="BX18" s="46">
        <f t="shared" si="12"/>
        <v>0</v>
      </c>
      <c r="BY18" s="46">
        <f t="shared" si="13"/>
        <v>0</v>
      </c>
      <c r="BZ18" s="46">
        <f t="shared" si="14"/>
        <v>0</v>
      </c>
      <c r="CA18" s="46">
        <f t="shared" si="15"/>
        <v>0</v>
      </c>
      <c r="CB18" s="46">
        <f t="shared" si="16"/>
        <v>0</v>
      </c>
      <c r="CC18" s="46">
        <f t="shared" si="17"/>
        <v>0</v>
      </c>
      <c r="CD18" s="46">
        <f t="shared" si="18"/>
        <v>0</v>
      </c>
      <c r="CE18" s="3"/>
      <c r="CF18" s="94" t="s">
        <v>70</v>
      </c>
      <c r="CG18" s="95"/>
      <c r="CH18" s="96"/>
      <c r="CI18" s="97">
        <f>+CI17/CG3</f>
        <v>7755.3527553527565</v>
      </c>
      <c r="CJ18" s="94" t="s">
        <v>71</v>
      </c>
      <c r="CK18" s="3"/>
      <c r="CL18" s="3"/>
    </row>
    <row r="19" spans="1:90" ht="14.4" x14ac:dyDescent="0.3">
      <c r="A19" s="28"/>
      <c r="B19" s="28"/>
      <c r="C19" s="28"/>
      <c r="D19" s="98" t="s">
        <v>67</v>
      </c>
      <c r="E19" s="99"/>
      <c r="F19" s="100"/>
      <c r="G19" s="100"/>
      <c r="H19" s="101"/>
      <c r="I19" s="102"/>
      <c r="J19" s="24"/>
      <c r="K19" s="103"/>
      <c r="L19" s="103"/>
      <c r="M19" s="25"/>
      <c r="N19" s="104"/>
      <c r="O19" s="24"/>
      <c r="P19" s="103"/>
      <c r="Q19" s="103"/>
      <c r="R19" s="27"/>
      <c r="S19" s="105"/>
      <c r="T19" s="24"/>
      <c r="U19" s="103"/>
      <c r="V19" s="103"/>
      <c r="W19" s="25"/>
      <c r="X19" s="105"/>
      <c r="Y19" s="26"/>
      <c r="Z19" s="103"/>
      <c r="AA19" s="103"/>
      <c r="AB19" s="27"/>
      <c r="AC19" s="105"/>
      <c r="AD19" s="24"/>
      <c r="AE19" s="103"/>
      <c r="AF19" s="103"/>
      <c r="AG19" s="25"/>
      <c r="AH19" s="105"/>
      <c r="AI19" s="26"/>
      <c r="AJ19" s="103"/>
      <c r="AK19" s="103"/>
      <c r="AL19" s="27"/>
      <c r="AM19" s="105"/>
      <c r="AN19" s="106">
        <f t="shared" ref="AN19:AQ19" si="28">SUM(AN5:AN18)</f>
        <v>10</v>
      </c>
      <c r="AO19" s="100">
        <f t="shared" si="28"/>
        <v>10</v>
      </c>
      <c r="AP19" s="100">
        <f t="shared" si="28"/>
        <v>15</v>
      </c>
      <c r="AQ19" s="107">
        <f t="shared" si="28"/>
        <v>18</v>
      </c>
      <c r="AR19" s="108">
        <f t="shared" ref="AR19:AR20" si="29">AVERAGE(AN19:AQ19)</f>
        <v>13.25</v>
      </c>
      <c r="AS19" s="99">
        <f t="shared" ref="AS19:AV19" si="30">SUM(AS5:AS18)</f>
        <v>18</v>
      </c>
      <c r="AT19" s="100">
        <f t="shared" si="30"/>
        <v>18</v>
      </c>
      <c r="AU19" s="100">
        <f t="shared" si="30"/>
        <v>18</v>
      </c>
      <c r="AV19" s="101">
        <f t="shared" si="30"/>
        <v>18</v>
      </c>
      <c r="AW19" s="108">
        <f t="shared" ref="AW19:AW20" si="31">AVERAGE(AS19:AV19)</f>
        <v>18</v>
      </c>
      <c r="AX19" s="106">
        <f t="shared" ref="AX19:BA19" si="32">SUM(AX5:AX18)</f>
        <v>18</v>
      </c>
      <c r="AY19" s="100">
        <f t="shared" si="32"/>
        <v>21</v>
      </c>
      <c r="AZ19" s="100">
        <f t="shared" si="32"/>
        <v>21</v>
      </c>
      <c r="BA19" s="107">
        <f t="shared" si="32"/>
        <v>21</v>
      </c>
      <c r="BB19" s="108">
        <f t="shared" ref="BB19:BB20" si="33">AVERAGE(AX19:BA19)</f>
        <v>20.25</v>
      </c>
      <c r="BC19" s="26">
        <f t="shared" ref="BC19:BF19" si="34">SUM(BC5:BC18)</f>
        <v>21</v>
      </c>
      <c r="BD19" s="103">
        <f t="shared" si="34"/>
        <v>20</v>
      </c>
      <c r="BE19" s="103">
        <f t="shared" si="34"/>
        <v>17</v>
      </c>
      <c r="BF19" s="27">
        <f t="shared" si="34"/>
        <v>11</v>
      </c>
      <c r="BG19" s="108">
        <f t="shared" ref="BG19:BG20" si="35">AVERAGE(BC19:BF19)</f>
        <v>17.25</v>
      </c>
      <c r="BH19" s="24">
        <f t="shared" ref="BH19:BK19" si="36">SUM(BH5:BH18)</f>
        <v>6</v>
      </c>
      <c r="BI19" s="103">
        <f t="shared" si="36"/>
        <v>6</v>
      </c>
      <c r="BJ19" s="103">
        <f t="shared" si="36"/>
        <v>6</v>
      </c>
      <c r="BK19" s="27">
        <f t="shared" si="36"/>
        <v>6</v>
      </c>
      <c r="BL19" s="108">
        <f t="shared" si="27"/>
        <v>6</v>
      </c>
      <c r="BM19" s="3"/>
      <c r="BN19" s="98" t="s">
        <v>67</v>
      </c>
      <c r="BO19" s="109">
        <f t="shared" ref="BO19:CD19" si="37">SUM(BO5:BO18)</f>
        <v>37500</v>
      </c>
      <c r="BP19" s="110">
        <f t="shared" si="37"/>
        <v>169285.71428571426</v>
      </c>
      <c r="BQ19" s="111">
        <f t="shared" si="37"/>
        <v>946928.57142857136</v>
      </c>
      <c r="BR19" s="111">
        <f t="shared" si="37"/>
        <v>0</v>
      </c>
      <c r="BS19" s="111">
        <f t="shared" si="37"/>
        <v>0</v>
      </c>
      <c r="BT19" s="111">
        <f t="shared" si="37"/>
        <v>0</v>
      </c>
      <c r="BU19" s="111">
        <f t="shared" si="37"/>
        <v>0</v>
      </c>
      <c r="BV19" s="111">
        <f t="shared" si="37"/>
        <v>0</v>
      </c>
      <c r="BW19" s="111">
        <f t="shared" si="37"/>
        <v>0</v>
      </c>
      <c r="BX19" s="111">
        <f t="shared" si="37"/>
        <v>0</v>
      </c>
      <c r="BY19" s="111">
        <f t="shared" si="37"/>
        <v>178928.57142857142</v>
      </c>
      <c r="BZ19" s="111">
        <f t="shared" si="37"/>
        <v>210428.57142857142</v>
      </c>
      <c r="CA19" s="111">
        <f t="shared" si="37"/>
        <v>231642.85714285713</v>
      </c>
      <c r="CB19" s="111">
        <f t="shared" si="37"/>
        <v>225642.85714285716</v>
      </c>
      <c r="CC19" s="111">
        <f t="shared" si="37"/>
        <v>100285.71428571429</v>
      </c>
      <c r="CD19" s="111">
        <f t="shared" si="37"/>
        <v>946928.57142857136</v>
      </c>
      <c r="CE19" s="28"/>
      <c r="CF19" s="112" t="s">
        <v>72</v>
      </c>
      <c r="CG19" s="113"/>
      <c r="CH19" s="114"/>
      <c r="CI19" s="115">
        <f>+CI17/'PROY GPO ESCOBEDO'!R22</f>
        <v>3.8840073095910115</v>
      </c>
      <c r="CJ19" s="112" t="s">
        <v>73</v>
      </c>
      <c r="CK19" s="3"/>
      <c r="CL19" s="3"/>
    </row>
    <row r="20" spans="1:90" ht="14.4" hidden="1" x14ac:dyDescent="0.3">
      <c r="A20" s="3"/>
      <c r="B20" s="3"/>
      <c r="C20" s="28" t="e">
        <f t="shared" ref="C20:C23" si="38">+#REF!/12</f>
        <v>#REF!</v>
      </c>
      <c r="D20" s="116" t="s">
        <v>74</v>
      </c>
      <c r="E20" s="117" t="e">
        <f t="shared" ref="E20:H20" si="39">+$F2/E19</f>
        <v>#DIV/0!</v>
      </c>
      <c r="F20" s="118" t="e">
        <f t="shared" si="39"/>
        <v>#DIV/0!</v>
      </c>
      <c r="G20" s="118" t="e">
        <f t="shared" si="39"/>
        <v>#DIV/0!</v>
      </c>
      <c r="H20" s="119" t="e">
        <f t="shared" si="39"/>
        <v>#DIV/0!</v>
      </c>
      <c r="I20" s="120" t="e">
        <f>AVERAGE(E20:H20)</f>
        <v>#DIV/0!</v>
      </c>
      <c r="J20" s="121" t="e">
        <f t="shared" ref="J20:M20" si="40">+$F2/J19</f>
        <v>#DIV/0!</v>
      </c>
      <c r="K20" s="118" t="e">
        <f t="shared" si="40"/>
        <v>#DIV/0!</v>
      </c>
      <c r="L20" s="118" t="e">
        <f t="shared" si="40"/>
        <v>#DIV/0!</v>
      </c>
      <c r="M20" s="122" t="e">
        <f t="shared" si="40"/>
        <v>#DIV/0!</v>
      </c>
      <c r="N20" s="123" t="e">
        <f>AVERAGE(J20:M20)</f>
        <v>#DIV/0!</v>
      </c>
      <c r="O20" s="121" t="e">
        <f t="shared" ref="O20:R20" si="41">+$F2/O19</f>
        <v>#DIV/0!</v>
      </c>
      <c r="P20" s="118" t="e">
        <f t="shared" si="41"/>
        <v>#DIV/0!</v>
      </c>
      <c r="Q20" s="118" t="e">
        <f t="shared" si="41"/>
        <v>#DIV/0!</v>
      </c>
      <c r="R20" s="119" t="e">
        <f t="shared" si="41"/>
        <v>#DIV/0!</v>
      </c>
      <c r="S20" s="124" t="e">
        <f>AVERAGE(O20:R20)</f>
        <v>#DIV/0!</v>
      </c>
      <c r="T20" s="121" t="e">
        <f t="shared" ref="T20:W20" si="42">+$F2/T19</f>
        <v>#DIV/0!</v>
      </c>
      <c r="U20" s="118" t="e">
        <f t="shared" si="42"/>
        <v>#DIV/0!</v>
      </c>
      <c r="V20" s="118" t="e">
        <f t="shared" si="42"/>
        <v>#DIV/0!</v>
      </c>
      <c r="W20" s="122" t="e">
        <f t="shared" si="42"/>
        <v>#DIV/0!</v>
      </c>
      <c r="X20" s="124" t="e">
        <f>AVERAGE(T20:W20)</f>
        <v>#DIV/0!</v>
      </c>
      <c r="Y20" s="117" t="e">
        <f t="shared" ref="Y20:AB20" si="43">+$F2/Y19</f>
        <v>#DIV/0!</v>
      </c>
      <c r="Z20" s="118" t="e">
        <f t="shared" si="43"/>
        <v>#DIV/0!</v>
      </c>
      <c r="AA20" s="118" t="e">
        <f t="shared" si="43"/>
        <v>#DIV/0!</v>
      </c>
      <c r="AB20" s="119" t="e">
        <f t="shared" si="43"/>
        <v>#DIV/0!</v>
      </c>
      <c r="AC20" s="124" t="e">
        <f>AVERAGE(Y20:AB20)</f>
        <v>#DIV/0!</v>
      </c>
      <c r="AD20" s="121" t="e">
        <f t="shared" ref="AD20:AG20" si="44">+$F2/AD19</f>
        <v>#DIV/0!</v>
      </c>
      <c r="AE20" s="118" t="e">
        <f t="shared" si="44"/>
        <v>#DIV/0!</v>
      </c>
      <c r="AF20" s="118" t="e">
        <f t="shared" si="44"/>
        <v>#DIV/0!</v>
      </c>
      <c r="AG20" s="122" t="e">
        <f t="shared" si="44"/>
        <v>#DIV/0!</v>
      </c>
      <c r="AH20" s="124" t="e">
        <f>AVERAGE(AD20:AG20)</f>
        <v>#DIV/0!</v>
      </c>
      <c r="AI20" s="117" t="e">
        <f t="shared" ref="AI20:AL20" si="45">+$F2/AI19</f>
        <v>#DIV/0!</v>
      </c>
      <c r="AJ20" s="118" t="e">
        <f t="shared" si="45"/>
        <v>#DIV/0!</v>
      </c>
      <c r="AK20" s="118" t="e">
        <f t="shared" si="45"/>
        <v>#DIV/0!</v>
      </c>
      <c r="AL20" s="119" t="e">
        <f t="shared" si="45"/>
        <v>#DIV/0!</v>
      </c>
      <c r="AM20" s="124" t="e">
        <f>AVERAGE(AI20:AL20)</f>
        <v>#DIV/0!</v>
      </c>
      <c r="AN20" s="121">
        <f t="shared" ref="AN20:AQ20" si="46">+$F2/AN19</f>
        <v>33.200000000000003</v>
      </c>
      <c r="AO20" s="118">
        <f t="shared" si="46"/>
        <v>33.200000000000003</v>
      </c>
      <c r="AP20" s="118">
        <f t="shared" si="46"/>
        <v>22.133333333333333</v>
      </c>
      <c r="AQ20" s="122">
        <f t="shared" si="46"/>
        <v>18.444444444444443</v>
      </c>
      <c r="AR20" s="108">
        <f t="shared" si="29"/>
        <v>26.744444444444444</v>
      </c>
      <c r="AS20" s="117">
        <f t="shared" ref="AS20:AV20" si="47">+$F2/AS19</f>
        <v>18.444444444444443</v>
      </c>
      <c r="AT20" s="118">
        <f t="shared" si="47"/>
        <v>18.444444444444443</v>
      </c>
      <c r="AU20" s="118">
        <f t="shared" si="47"/>
        <v>18.444444444444443</v>
      </c>
      <c r="AV20" s="119">
        <f t="shared" si="47"/>
        <v>18.444444444444443</v>
      </c>
      <c r="AW20" s="108">
        <f t="shared" si="31"/>
        <v>18.444444444444443</v>
      </c>
      <c r="AX20" s="121">
        <f t="shared" ref="AX20:BA20" si="48">+$F2/AX19</f>
        <v>18.444444444444443</v>
      </c>
      <c r="AY20" s="118">
        <f t="shared" si="48"/>
        <v>15.80952380952381</v>
      </c>
      <c r="AZ20" s="118">
        <f t="shared" si="48"/>
        <v>15.80952380952381</v>
      </c>
      <c r="BA20" s="122">
        <f t="shared" si="48"/>
        <v>15.80952380952381</v>
      </c>
      <c r="BB20" s="108">
        <f t="shared" si="33"/>
        <v>16.468253968253968</v>
      </c>
      <c r="BC20" s="117">
        <f t="shared" ref="BC20:BF20" si="49">+$F2/BC19</f>
        <v>15.80952380952381</v>
      </c>
      <c r="BD20" s="118">
        <f t="shared" si="49"/>
        <v>16.600000000000001</v>
      </c>
      <c r="BE20" s="118">
        <f t="shared" si="49"/>
        <v>19.529411764705884</v>
      </c>
      <c r="BF20" s="119">
        <f t="shared" si="49"/>
        <v>30.181818181818183</v>
      </c>
      <c r="BG20" s="108">
        <f t="shared" si="35"/>
        <v>20.530188439011969</v>
      </c>
      <c r="BH20" s="121">
        <f t="shared" ref="BH20:BK20" si="50">+$F2/BH19</f>
        <v>55.333333333333336</v>
      </c>
      <c r="BI20" s="118">
        <f t="shared" si="50"/>
        <v>55.333333333333336</v>
      </c>
      <c r="BJ20" s="118">
        <f t="shared" si="50"/>
        <v>55.333333333333336</v>
      </c>
      <c r="BK20" s="119">
        <f t="shared" si="50"/>
        <v>55.333333333333336</v>
      </c>
      <c r="BL20" s="108">
        <f t="shared" si="27"/>
        <v>55.333333333333336</v>
      </c>
      <c r="BM20" s="28"/>
      <c r="BN20" s="28"/>
      <c r="BO20" s="28"/>
      <c r="BP20" s="28"/>
      <c r="BQ20" s="28"/>
      <c r="BR20" s="28"/>
      <c r="BS20" s="28"/>
      <c r="BT20" s="28"/>
      <c r="BU20" s="28"/>
      <c r="BV20" s="125"/>
      <c r="BW20" s="125"/>
      <c r="BX20" s="125"/>
      <c r="BY20" s="125"/>
      <c r="BZ20" s="125"/>
      <c r="CA20" s="125"/>
      <c r="CB20" s="125"/>
      <c r="CC20" s="125"/>
      <c r="CD20" s="125"/>
      <c r="CE20" s="3"/>
      <c r="CF20" s="3"/>
      <c r="CG20" s="3"/>
      <c r="CH20" s="3"/>
      <c r="CI20" s="3"/>
      <c r="CJ20" s="3"/>
      <c r="CK20" s="3"/>
      <c r="CL20" s="3"/>
    </row>
    <row r="21" spans="1:90" ht="15.75" hidden="1" customHeight="1" x14ac:dyDescent="0.3">
      <c r="A21" s="3"/>
      <c r="B21" s="3"/>
      <c r="C21" s="28" t="e">
        <f t="shared" si="38"/>
        <v>#REF!</v>
      </c>
      <c r="D21" s="3"/>
      <c r="E21" s="3"/>
      <c r="F21" s="3"/>
      <c r="G21" s="3"/>
      <c r="H21" s="3">
        <v>9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4"/>
      <c r="BN21" s="28"/>
      <c r="BO21" s="109"/>
      <c r="BP21" s="110"/>
      <c r="BQ21" s="111"/>
      <c r="BR21" s="126"/>
      <c r="BS21" s="111"/>
      <c r="BT21" s="111"/>
      <c r="BU21" s="111"/>
      <c r="BV21" s="3"/>
      <c r="BW21" s="3"/>
      <c r="BX21" s="4"/>
      <c r="BY21" s="4"/>
      <c r="BZ21" s="4"/>
      <c r="CA21" s="4"/>
      <c r="CB21" s="4"/>
      <c r="CC21" s="4"/>
      <c r="CD21" s="4"/>
      <c r="CE21" s="3"/>
      <c r="CF21" s="3"/>
      <c r="CG21" s="3"/>
      <c r="CH21" s="3"/>
      <c r="CI21" s="3"/>
      <c r="CJ21" s="3"/>
      <c r="CK21" s="3"/>
      <c r="CL21" s="3"/>
    </row>
    <row r="22" spans="1:90" ht="15.75" hidden="1" customHeight="1" x14ac:dyDescent="0.3">
      <c r="A22" s="3"/>
      <c r="B22" s="3"/>
      <c r="C22" s="28" t="e">
        <f t="shared" si="38"/>
        <v>#REF!</v>
      </c>
      <c r="D22" s="127" t="s">
        <v>75</v>
      </c>
      <c r="E22" s="52"/>
      <c r="F22" s="128"/>
      <c r="G22" s="128"/>
      <c r="H22" s="129"/>
      <c r="I22" s="130"/>
      <c r="J22" s="131"/>
      <c r="K22" s="128"/>
      <c r="L22" s="128"/>
      <c r="M22" s="129"/>
      <c r="N22" s="130"/>
      <c r="O22" s="95"/>
      <c r="P22" s="128"/>
      <c r="Q22" s="128"/>
      <c r="R22" s="96"/>
      <c r="S22" s="130"/>
      <c r="T22" s="131"/>
      <c r="U22" s="128"/>
      <c r="V22" s="128"/>
      <c r="W22" s="129"/>
      <c r="X22" s="130"/>
      <c r="Y22" s="95"/>
      <c r="Z22" s="128"/>
      <c r="AA22" s="128"/>
      <c r="AB22" s="128"/>
      <c r="AC22" s="128"/>
      <c r="AD22" s="128"/>
      <c r="AE22" s="128"/>
      <c r="AF22" s="128"/>
      <c r="AG22" s="96"/>
      <c r="AH22" s="130"/>
      <c r="AI22" s="131"/>
      <c r="AJ22" s="128"/>
      <c r="AK22" s="128"/>
      <c r="AL22" s="129"/>
      <c r="AM22" s="130"/>
      <c r="AN22" s="95"/>
      <c r="AO22" s="128"/>
      <c r="AP22" s="128"/>
      <c r="AQ22" s="96"/>
      <c r="AR22" s="130"/>
      <c r="AS22" s="131"/>
      <c r="AT22" s="128"/>
      <c r="AU22" s="128"/>
      <c r="AV22" s="129"/>
      <c r="AW22" s="130"/>
      <c r="AX22" s="95"/>
      <c r="AY22" s="128"/>
      <c r="AZ22" s="128"/>
      <c r="BA22" s="96"/>
      <c r="BB22" s="130"/>
      <c r="BC22" s="131"/>
      <c r="BD22" s="128"/>
      <c r="BE22" s="128"/>
      <c r="BF22" s="129"/>
      <c r="BG22" s="130"/>
      <c r="BH22" s="95"/>
      <c r="BI22" s="128"/>
      <c r="BJ22" s="128"/>
      <c r="BK22" s="129"/>
      <c r="BL22" s="3"/>
      <c r="BM22" s="132"/>
      <c r="BN22" s="3"/>
      <c r="BO22" s="3"/>
      <c r="BP22" s="3"/>
      <c r="BQ22" s="3"/>
      <c r="BR22" s="3"/>
      <c r="BS22" s="3"/>
      <c r="BT22" s="3"/>
      <c r="BU22" s="3"/>
      <c r="BV22" s="128"/>
      <c r="BW22" s="3"/>
      <c r="BX22" s="4"/>
      <c r="BY22" s="4"/>
      <c r="BZ22" s="4"/>
      <c r="CA22" s="4"/>
      <c r="CB22" s="4"/>
      <c r="CC22" s="4"/>
      <c r="CD22" s="4"/>
      <c r="CE22" s="3"/>
      <c r="CF22" s="3"/>
      <c r="CG22" s="3"/>
      <c r="CH22" s="3"/>
      <c r="CI22" s="3"/>
      <c r="CJ22" s="3"/>
      <c r="CK22" s="3"/>
      <c r="CL22" s="3"/>
    </row>
    <row r="23" spans="1:90" ht="15.75" hidden="1" customHeight="1" x14ac:dyDescent="0.3">
      <c r="A23" s="3"/>
      <c r="B23" s="3"/>
      <c r="C23" s="28" t="e">
        <f t="shared" si="38"/>
        <v>#REF!</v>
      </c>
      <c r="D23" s="127" t="s">
        <v>76</v>
      </c>
      <c r="E23" s="52"/>
      <c r="F23" s="128"/>
      <c r="G23" s="128"/>
      <c r="H23" s="129"/>
      <c r="I23" s="130"/>
      <c r="J23" s="131"/>
      <c r="K23" s="128"/>
      <c r="L23" s="128"/>
      <c r="M23" s="129"/>
      <c r="N23" s="130"/>
      <c r="O23" s="95"/>
      <c r="P23" s="128"/>
      <c r="Q23" s="128"/>
      <c r="R23" s="96"/>
      <c r="S23" s="130"/>
      <c r="T23" s="131"/>
      <c r="U23" s="128"/>
      <c r="V23" s="128"/>
      <c r="W23" s="129"/>
      <c r="X23" s="130"/>
      <c r="Y23" s="95"/>
      <c r="Z23" s="128"/>
      <c r="AA23" s="128"/>
      <c r="AB23" s="128"/>
      <c r="AC23" s="128"/>
      <c r="AD23" s="128"/>
      <c r="AE23" s="128"/>
      <c r="AF23" s="128"/>
      <c r="AG23" s="96"/>
      <c r="AH23" s="130"/>
      <c r="AI23" s="131"/>
      <c r="AJ23" s="128"/>
      <c r="AK23" s="128"/>
      <c r="AL23" s="129"/>
      <c r="AM23" s="130"/>
      <c r="AN23" s="95"/>
      <c r="AO23" s="128"/>
      <c r="AP23" s="128"/>
      <c r="AQ23" s="96"/>
      <c r="AR23" s="130"/>
      <c r="AS23" s="131"/>
      <c r="AT23" s="128"/>
      <c r="AU23" s="128"/>
      <c r="AV23" s="129"/>
      <c r="AW23" s="130"/>
      <c r="AX23" s="95"/>
      <c r="AY23" s="128"/>
      <c r="AZ23" s="128"/>
      <c r="BA23" s="96"/>
      <c r="BB23" s="130"/>
      <c r="BC23" s="131"/>
      <c r="BD23" s="128"/>
      <c r="BE23" s="128"/>
      <c r="BF23" s="129"/>
      <c r="BG23" s="130"/>
      <c r="BH23" s="95"/>
      <c r="BI23" s="128"/>
      <c r="BJ23" s="128"/>
      <c r="BK23" s="129"/>
      <c r="BL23" s="3"/>
      <c r="BM23" s="132"/>
      <c r="BN23" s="3"/>
      <c r="BO23" s="3"/>
      <c r="BP23" s="3"/>
      <c r="BQ23" s="3"/>
      <c r="BR23" s="3"/>
      <c r="BS23" s="3"/>
      <c r="BT23" s="3"/>
      <c r="BU23" s="3"/>
      <c r="BV23" s="128"/>
      <c r="BW23" s="3"/>
      <c r="BX23" s="4"/>
      <c r="BY23" s="4"/>
      <c r="BZ23" s="4"/>
      <c r="CA23" s="4"/>
      <c r="CB23" s="4"/>
      <c r="CC23" s="4"/>
      <c r="CD23" s="4"/>
      <c r="CE23" s="3"/>
      <c r="CF23" s="3"/>
      <c r="CG23" s="3"/>
      <c r="CH23" s="3"/>
      <c r="CI23" s="3"/>
      <c r="CJ23" s="3"/>
      <c r="CK23" s="3"/>
      <c r="CL23" s="3"/>
    </row>
    <row r="24" spans="1:90" ht="15.75" customHeight="1" x14ac:dyDescent="0.3">
      <c r="A24" s="3"/>
      <c r="B24" s="3"/>
      <c r="C24" s="3"/>
      <c r="D24" s="127" t="s">
        <v>77</v>
      </c>
      <c r="E24" s="52"/>
      <c r="F24" s="128"/>
      <c r="G24" s="128"/>
      <c r="H24" s="129"/>
      <c r="I24" s="130"/>
      <c r="J24" s="131"/>
      <c r="K24" s="128"/>
      <c r="L24" s="128"/>
      <c r="M24" s="129"/>
      <c r="N24" s="130"/>
      <c r="O24" s="95"/>
      <c r="P24" s="128"/>
      <c r="Q24" s="128"/>
      <c r="R24" s="96"/>
      <c r="S24" s="130"/>
      <c r="T24" s="131"/>
      <c r="U24" s="128"/>
      <c r="V24" s="128"/>
      <c r="W24" s="129"/>
      <c r="X24" s="130"/>
      <c r="Y24" s="95"/>
      <c r="Z24" s="128"/>
      <c r="AA24" s="128"/>
      <c r="AB24" s="128"/>
      <c r="AC24" s="128"/>
      <c r="AD24" s="128"/>
      <c r="AE24" s="128"/>
      <c r="AF24" s="128"/>
      <c r="AG24" s="96"/>
      <c r="AH24" s="130"/>
      <c r="AI24" s="131"/>
      <c r="AJ24" s="128"/>
      <c r="AK24" s="128"/>
      <c r="AL24" s="129"/>
      <c r="AM24" s="130"/>
      <c r="AN24" s="95"/>
      <c r="AO24" s="128"/>
      <c r="AP24" s="128"/>
      <c r="AQ24" s="96"/>
      <c r="AR24" s="130"/>
      <c r="AS24" s="131"/>
      <c r="AT24" s="128"/>
      <c r="AU24" s="128"/>
      <c r="AV24" s="129"/>
      <c r="AW24" s="130"/>
      <c r="AX24" s="95"/>
      <c r="AY24" s="128"/>
      <c r="AZ24" s="128"/>
      <c r="BA24" s="96"/>
      <c r="BB24" s="130"/>
      <c r="BC24" s="131"/>
      <c r="BD24" s="128"/>
      <c r="BE24" s="128"/>
      <c r="BF24" s="129"/>
      <c r="BG24" s="130"/>
      <c r="BH24" s="95"/>
      <c r="BI24" s="128"/>
      <c r="BJ24" s="128"/>
      <c r="BK24" s="129"/>
      <c r="BL24" s="3"/>
      <c r="BM24" s="132"/>
      <c r="BN24" s="3"/>
      <c r="BO24" s="3"/>
      <c r="BP24" s="3"/>
      <c r="BQ24" s="3"/>
      <c r="BR24" s="3"/>
      <c r="BS24" s="3"/>
      <c r="BT24" s="3"/>
      <c r="BU24" s="3"/>
      <c r="BV24" s="128"/>
      <c r="BW24" s="3"/>
      <c r="BX24" s="4"/>
      <c r="BY24" s="4"/>
      <c r="BZ24" s="4"/>
      <c r="CA24" s="4"/>
      <c r="CB24" s="4"/>
      <c r="CC24" s="4"/>
      <c r="CD24" s="4"/>
      <c r="CE24" s="3"/>
      <c r="CF24" s="3"/>
      <c r="CG24" s="3"/>
      <c r="CH24" s="3"/>
      <c r="CI24" s="3"/>
      <c r="CJ24" s="3"/>
      <c r="CK24" s="3"/>
      <c r="CL24" s="3"/>
    </row>
    <row r="25" spans="1:90" ht="15.75" customHeight="1" x14ac:dyDescent="0.3">
      <c r="D25" s="133"/>
      <c r="E25" s="13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28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4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4"/>
      <c r="BY25" s="4"/>
      <c r="BZ25" s="4"/>
      <c r="CA25" s="4"/>
      <c r="CB25" s="4"/>
      <c r="CC25" s="4"/>
      <c r="CD25" s="4"/>
    </row>
    <row r="26" spans="1:90" ht="15.75" customHeight="1" x14ac:dyDescent="0.3">
      <c r="E26" s="3"/>
      <c r="I26" s="3"/>
      <c r="N26" s="3"/>
      <c r="S26" s="3"/>
      <c r="X26" s="3"/>
      <c r="AC26" s="3"/>
      <c r="AH26" s="3"/>
      <c r="AM26" s="3"/>
      <c r="AR26" s="3"/>
      <c r="AW26" s="3"/>
      <c r="BB26" s="3"/>
      <c r="BG26" s="3"/>
      <c r="BM26" s="3"/>
      <c r="BV26" s="3"/>
      <c r="BX26" s="4"/>
      <c r="BY26" s="4"/>
      <c r="BZ26" s="4"/>
      <c r="CA26" s="4"/>
      <c r="CB26" s="4"/>
      <c r="CC26" s="4"/>
      <c r="CD26" s="4"/>
    </row>
    <row r="27" spans="1:90" ht="15.75" customHeight="1" x14ac:dyDescent="0.3">
      <c r="E27" s="3"/>
      <c r="I27" s="3"/>
      <c r="M27" s="3"/>
      <c r="N27" s="3"/>
      <c r="S27" s="3"/>
      <c r="W27" s="3"/>
      <c r="X27" s="3"/>
      <c r="AB27" s="3"/>
      <c r="AC27" s="3"/>
      <c r="AG27" s="3"/>
      <c r="AH27" s="3"/>
      <c r="AL27" s="3"/>
      <c r="AM27" s="3"/>
      <c r="AQ27" s="3"/>
      <c r="AR27" s="3"/>
      <c r="AV27" s="3"/>
      <c r="AW27" s="3"/>
      <c r="BA27" s="3"/>
      <c r="BB27" s="3"/>
      <c r="BF27" s="3"/>
      <c r="BG27" s="3"/>
      <c r="BL27" s="3"/>
      <c r="BX27" s="4"/>
      <c r="BY27" s="4"/>
      <c r="BZ27" s="4"/>
      <c r="CA27" s="4"/>
      <c r="CB27" s="4"/>
      <c r="CC27" s="4"/>
      <c r="CD27" s="4"/>
    </row>
    <row r="28" spans="1:90" ht="15.75" customHeight="1" x14ac:dyDescent="0.3">
      <c r="D28" s="134"/>
      <c r="E28" s="3"/>
      <c r="I28" s="3"/>
      <c r="M28" s="3"/>
      <c r="N28" s="3"/>
      <c r="S28" s="3"/>
      <c r="W28" s="3"/>
      <c r="X28" s="3"/>
      <c r="AB28" s="3"/>
      <c r="AC28" s="3"/>
      <c r="AG28" s="3"/>
      <c r="AH28" s="3"/>
      <c r="AL28" s="3"/>
      <c r="AM28" s="3"/>
      <c r="AQ28" s="3"/>
      <c r="AR28" s="3"/>
      <c r="AV28" s="3"/>
      <c r="AW28" s="3"/>
      <c r="BA28" s="3"/>
      <c r="BB28" s="3"/>
      <c r="BF28" s="3"/>
      <c r="BG28" s="3"/>
      <c r="BL28" s="3"/>
      <c r="BX28" s="4"/>
      <c r="BY28" s="4"/>
      <c r="BZ28" s="4"/>
      <c r="CA28" s="4"/>
      <c r="CB28" s="4"/>
      <c r="CC28" s="4"/>
      <c r="CD28" s="4"/>
    </row>
    <row r="29" spans="1:90" ht="15.75" customHeight="1" x14ac:dyDescent="0.3">
      <c r="D29" s="134"/>
      <c r="E29" s="3"/>
      <c r="I29" s="3"/>
      <c r="M29" s="3"/>
      <c r="N29" s="3"/>
      <c r="S29" s="3"/>
      <c r="W29" s="3"/>
      <c r="X29" s="3"/>
      <c r="AB29" s="3"/>
      <c r="AC29" s="3"/>
      <c r="AG29" s="3"/>
      <c r="AH29" s="3"/>
      <c r="AL29" s="3"/>
      <c r="AM29" s="3"/>
      <c r="AQ29" s="3"/>
      <c r="AR29" s="3"/>
      <c r="AV29" s="3"/>
      <c r="AW29" s="3"/>
      <c r="BA29" s="3"/>
      <c r="BB29" s="3"/>
      <c r="BF29" s="3"/>
      <c r="BG29" s="3"/>
      <c r="BL29" s="3"/>
      <c r="BX29" s="4"/>
      <c r="BY29" s="4"/>
      <c r="BZ29" s="4"/>
      <c r="CA29" s="4"/>
      <c r="CB29" s="4"/>
      <c r="CC29" s="4"/>
      <c r="CD29" s="4"/>
    </row>
    <row r="30" spans="1:90" ht="15.75" customHeight="1" x14ac:dyDescent="0.3">
      <c r="D30" s="134"/>
      <c r="E30" s="3"/>
      <c r="I30" s="3"/>
      <c r="M30" s="3"/>
      <c r="N30" s="3"/>
      <c r="S30" s="3"/>
      <c r="W30" s="3"/>
      <c r="X30" s="3"/>
      <c r="AB30" s="3"/>
      <c r="AC30" s="3"/>
      <c r="AG30" s="3"/>
      <c r="AH30" s="3"/>
      <c r="AL30" s="3"/>
      <c r="AM30" s="3"/>
      <c r="AQ30" s="3"/>
      <c r="AR30" s="3"/>
      <c r="AV30" s="3"/>
      <c r="AW30" s="3"/>
      <c r="BA30" s="3"/>
      <c r="BB30" s="3"/>
      <c r="BF30" s="3"/>
      <c r="BG30" s="3"/>
      <c r="BL30" s="3"/>
      <c r="BX30" s="4"/>
      <c r="BY30" s="4"/>
      <c r="BZ30" s="4"/>
      <c r="CA30" s="4"/>
      <c r="CB30" s="4"/>
      <c r="CC30" s="4"/>
      <c r="CD30" s="4"/>
    </row>
    <row r="31" spans="1:90" ht="15.75" customHeight="1" x14ac:dyDescent="0.3">
      <c r="D31" s="134"/>
      <c r="E31" s="3"/>
      <c r="I31" s="3"/>
      <c r="M31" s="3"/>
      <c r="N31" s="3"/>
      <c r="S31" s="3"/>
      <c r="W31" s="3"/>
      <c r="X31" s="3"/>
      <c r="AB31" s="3"/>
      <c r="AC31" s="3"/>
      <c r="AG31" s="3"/>
      <c r="AH31" s="3"/>
      <c r="AL31" s="3"/>
      <c r="AM31" s="3"/>
      <c r="AQ31" s="3"/>
      <c r="AR31" s="3"/>
      <c r="AV31" s="3"/>
      <c r="AW31" s="3"/>
      <c r="BA31" s="3"/>
      <c r="BB31" s="3"/>
      <c r="BF31" s="3"/>
      <c r="BG31" s="3"/>
      <c r="BL31" s="3"/>
      <c r="BX31" s="4"/>
      <c r="BY31" s="4"/>
      <c r="BZ31" s="4"/>
      <c r="CA31" s="4"/>
      <c r="CB31" s="4"/>
      <c r="CC31" s="4"/>
      <c r="CD31" s="4"/>
    </row>
    <row r="32" spans="1:90" ht="15.75" customHeight="1" x14ac:dyDescent="0.3">
      <c r="D32" s="134"/>
      <c r="E32" s="3"/>
      <c r="I32" s="3"/>
      <c r="M32" s="3"/>
      <c r="N32" s="3"/>
      <c r="S32" s="3"/>
      <c r="W32" s="3"/>
      <c r="X32" s="3"/>
      <c r="AB32" s="3"/>
      <c r="AC32" s="3"/>
      <c r="AG32" s="3"/>
      <c r="AH32" s="3"/>
      <c r="AL32" s="3"/>
      <c r="AM32" s="3"/>
      <c r="AQ32" s="3"/>
      <c r="AR32" s="3"/>
      <c r="AV32" s="3"/>
      <c r="AW32" s="3"/>
      <c r="BA32" s="3"/>
      <c r="BB32" s="3"/>
      <c r="BF32" s="3"/>
      <c r="BG32" s="3"/>
      <c r="BL32" s="3"/>
      <c r="BX32" s="4"/>
      <c r="BY32" s="4"/>
      <c r="BZ32" s="4"/>
      <c r="CA32" s="4"/>
      <c r="CB32" s="4"/>
      <c r="CC32" s="4"/>
      <c r="CD32" s="4"/>
    </row>
    <row r="33" spans="4:86" ht="15.75" customHeight="1" x14ac:dyDescent="0.3">
      <c r="D33" s="134"/>
      <c r="E33" s="3"/>
      <c r="I33" s="3"/>
      <c r="M33" s="3"/>
      <c r="N33" s="3"/>
      <c r="S33" s="3"/>
      <c r="W33" s="3"/>
      <c r="X33" s="3"/>
      <c r="AB33" s="3"/>
      <c r="AC33" s="3"/>
      <c r="AG33" s="3"/>
      <c r="AH33" s="3"/>
      <c r="AL33" s="3"/>
      <c r="AM33" s="3"/>
      <c r="AQ33" s="3"/>
      <c r="AR33" s="3"/>
      <c r="AV33" s="3"/>
      <c r="AW33" s="3"/>
      <c r="BA33" s="3"/>
      <c r="BB33" s="3"/>
      <c r="BF33" s="3"/>
      <c r="BG33" s="3"/>
      <c r="BL33" s="3"/>
      <c r="BX33" s="4"/>
      <c r="BY33" s="4"/>
      <c r="BZ33" s="4"/>
      <c r="CA33" s="4"/>
      <c r="CB33" s="4"/>
      <c r="CC33" s="4"/>
      <c r="CD33" s="4"/>
    </row>
    <row r="34" spans="4:86" ht="15.75" customHeight="1" x14ac:dyDescent="0.3">
      <c r="D34" s="28"/>
      <c r="E34" s="3"/>
      <c r="I34" s="3"/>
      <c r="M34" s="3"/>
      <c r="N34" s="3"/>
      <c r="S34" s="3"/>
      <c r="W34" s="3"/>
      <c r="X34" s="3"/>
      <c r="AB34" s="3"/>
      <c r="AC34" s="3"/>
      <c r="AG34" s="3"/>
      <c r="AH34" s="3"/>
      <c r="AL34" s="3"/>
      <c r="AM34" s="3"/>
      <c r="AQ34" s="3"/>
      <c r="AR34" s="3"/>
      <c r="AV34" s="3"/>
      <c r="AW34" s="3"/>
      <c r="BA34" s="3"/>
      <c r="BB34" s="3"/>
      <c r="BF34" s="3"/>
      <c r="BG34" s="3"/>
      <c r="BL34" s="3"/>
      <c r="BX34" s="4"/>
      <c r="BY34" s="4"/>
      <c r="BZ34" s="4"/>
      <c r="CA34" s="4"/>
      <c r="CB34" s="4"/>
      <c r="CC34" s="4"/>
      <c r="CD34" s="4"/>
    </row>
    <row r="35" spans="4:86" ht="15.75" customHeight="1" x14ac:dyDescent="0.3">
      <c r="D35" s="28"/>
      <c r="E35" s="3"/>
      <c r="I35" s="3"/>
      <c r="M35" s="3"/>
      <c r="N35" s="3"/>
      <c r="S35" s="3"/>
      <c r="W35" s="3"/>
      <c r="X35" s="3"/>
      <c r="AB35" s="3"/>
      <c r="AC35" s="3"/>
      <c r="AG35" s="3"/>
      <c r="AH35" s="3"/>
      <c r="AL35" s="3"/>
      <c r="AM35" s="3"/>
      <c r="AQ35" s="3"/>
      <c r="AR35" s="3"/>
      <c r="AV35" s="3"/>
      <c r="AW35" s="3"/>
      <c r="BA35" s="3"/>
      <c r="BB35" s="3"/>
      <c r="BF35" s="3"/>
      <c r="BG35" s="3"/>
      <c r="BL35" s="3"/>
      <c r="BX35" s="4"/>
      <c r="BY35" s="4"/>
      <c r="BZ35" s="4"/>
      <c r="CA35" s="4"/>
      <c r="CB35" s="4"/>
      <c r="CC35" s="4"/>
      <c r="CD35" s="4"/>
    </row>
    <row r="36" spans="4:86" ht="15.75" customHeight="1" x14ac:dyDescent="0.3">
      <c r="E36" s="3"/>
      <c r="I36" s="3"/>
      <c r="M36" s="3"/>
      <c r="N36" s="3"/>
      <c r="S36" s="3"/>
      <c r="W36" s="3"/>
      <c r="X36" s="3"/>
      <c r="AB36" s="3"/>
      <c r="AC36" s="3"/>
      <c r="AG36" s="3"/>
      <c r="AH36" s="3"/>
      <c r="AL36" s="3"/>
      <c r="AM36" s="3"/>
      <c r="AQ36" s="3"/>
      <c r="AR36" s="3"/>
      <c r="AV36" s="3"/>
      <c r="AW36" s="3"/>
      <c r="BA36" s="3"/>
      <c r="BB36" s="3"/>
      <c r="BF36" s="3"/>
      <c r="BG36" s="3"/>
      <c r="BL36" s="3"/>
      <c r="BX36" s="4"/>
      <c r="BY36" s="4"/>
      <c r="BZ36" s="4"/>
      <c r="CA36" s="4"/>
      <c r="CB36" s="4"/>
      <c r="CC36" s="4"/>
      <c r="CD36" s="4"/>
    </row>
    <row r="37" spans="4:86" ht="15.75" customHeight="1" x14ac:dyDescent="0.3">
      <c r="E37" s="3"/>
      <c r="I37" s="3"/>
      <c r="M37" s="3"/>
      <c r="N37" s="3"/>
      <c r="S37" s="3"/>
      <c r="W37" s="3"/>
      <c r="X37" s="3"/>
      <c r="AB37" s="3"/>
      <c r="AC37" s="3"/>
      <c r="AG37" s="3"/>
      <c r="AH37" s="3"/>
      <c r="AL37" s="3"/>
      <c r="AM37" s="3"/>
      <c r="AQ37" s="3"/>
      <c r="AR37" s="3"/>
      <c r="AV37" s="3"/>
      <c r="AW37" s="3"/>
      <c r="BA37" s="3"/>
      <c r="BB37" s="3"/>
      <c r="BF37" s="3"/>
      <c r="BG37" s="3"/>
      <c r="BL37" s="3"/>
      <c r="BX37" s="4"/>
      <c r="BY37" s="4"/>
      <c r="BZ37" s="4"/>
      <c r="CA37" s="4"/>
      <c r="CB37" s="4"/>
      <c r="CC37" s="4"/>
      <c r="CD37" s="4"/>
    </row>
    <row r="38" spans="4:86" ht="15.75" customHeight="1" x14ac:dyDescent="0.3">
      <c r="E38" s="3"/>
      <c r="I38" s="3"/>
      <c r="M38" s="3"/>
      <c r="N38" s="3"/>
      <c r="S38" s="3"/>
      <c r="W38" s="3"/>
      <c r="X38" s="3"/>
      <c r="AB38" s="3"/>
      <c r="AC38" s="3"/>
      <c r="AG38" s="3"/>
      <c r="AH38" s="3"/>
      <c r="AL38" s="3"/>
      <c r="AM38" s="3"/>
      <c r="AQ38" s="3"/>
      <c r="AR38" s="3"/>
      <c r="AV38" s="3"/>
      <c r="AW38" s="3"/>
      <c r="BA38" s="3"/>
      <c r="BB38" s="3"/>
      <c r="BF38" s="3"/>
      <c r="BG38" s="3"/>
      <c r="BL38" s="3"/>
      <c r="BX38" s="4"/>
      <c r="BY38" s="4"/>
      <c r="BZ38" s="4"/>
      <c r="CA38" s="4"/>
      <c r="CB38" s="4"/>
      <c r="CC38" s="4"/>
      <c r="CD38" s="4"/>
    </row>
    <row r="39" spans="4:86" ht="15.75" customHeight="1" x14ac:dyDescent="0.3">
      <c r="E39" s="3"/>
      <c r="I39" s="3"/>
      <c r="M39" s="3"/>
      <c r="N39" s="3"/>
      <c r="S39" s="3"/>
      <c r="W39" s="3"/>
      <c r="X39" s="3"/>
      <c r="AB39" s="3"/>
      <c r="AC39" s="3"/>
      <c r="AG39" s="3"/>
      <c r="AH39" s="3"/>
      <c r="AL39" s="3"/>
      <c r="AM39" s="3"/>
      <c r="AQ39" s="3"/>
      <c r="AR39" s="3"/>
      <c r="AV39" s="3"/>
      <c r="AW39" s="3"/>
      <c r="BA39" s="3"/>
      <c r="BB39" s="3"/>
      <c r="BF39" s="3"/>
      <c r="BG39" s="3"/>
      <c r="BL39" s="3"/>
      <c r="BX39" s="4"/>
      <c r="BY39" s="4"/>
      <c r="BZ39" s="4"/>
      <c r="CA39" s="4"/>
      <c r="CB39" s="4"/>
      <c r="CC39" s="4"/>
      <c r="CD39" s="4"/>
      <c r="CF39" s="3"/>
      <c r="CG39" s="3"/>
      <c r="CH39" s="3"/>
    </row>
    <row r="40" spans="4:86" ht="15.75" customHeight="1" x14ac:dyDescent="0.3">
      <c r="E40" s="3"/>
      <c r="I40" s="3"/>
      <c r="N40" s="3"/>
      <c r="S40" s="3"/>
      <c r="W40" s="3"/>
      <c r="X40" s="3"/>
      <c r="AB40" s="3"/>
      <c r="AC40" s="3"/>
      <c r="AG40" s="3"/>
      <c r="AH40" s="3"/>
      <c r="AL40" s="3"/>
      <c r="AM40" s="3"/>
      <c r="AQ40" s="3"/>
      <c r="AR40" s="3"/>
      <c r="AV40" s="3"/>
      <c r="AW40" s="3"/>
      <c r="BA40" s="3"/>
      <c r="BB40" s="3"/>
      <c r="BF40" s="3"/>
      <c r="BG40" s="3"/>
      <c r="BL40" s="3"/>
      <c r="BX40" s="4"/>
      <c r="BY40" s="4"/>
      <c r="BZ40" s="4"/>
      <c r="CA40" s="4"/>
      <c r="CB40" s="4"/>
      <c r="CC40" s="4"/>
      <c r="CD40" s="4"/>
    </row>
    <row r="41" spans="4:86" ht="15.75" customHeight="1" x14ac:dyDescent="0.3">
      <c r="E41" s="3"/>
      <c r="I41" s="3"/>
      <c r="N41" s="3"/>
      <c r="S41" s="3"/>
      <c r="W41" s="3"/>
      <c r="X41" s="3"/>
      <c r="AB41" s="3"/>
      <c r="AC41" s="3"/>
      <c r="AG41" s="3"/>
      <c r="AH41" s="3"/>
      <c r="AL41" s="3"/>
      <c r="AM41" s="3"/>
      <c r="AQ41" s="3"/>
      <c r="AR41" s="3"/>
      <c r="AV41" s="3"/>
      <c r="AW41" s="3"/>
      <c r="BA41" s="3"/>
      <c r="BB41" s="3"/>
      <c r="BF41" s="3"/>
      <c r="BG41" s="3"/>
      <c r="BL41" s="3"/>
      <c r="BX41" s="4"/>
      <c r="BY41" s="4"/>
      <c r="BZ41" s="4"/>
      <c r="CA41" s="4"/>
      <c r="CB41" s="4"/>
      <c r="CC41" s="4"/>
      <c r="CD41" s="4"/>
    </row>
    <row r="42" spans="4:86" ht="15.75" customHeight="1" x14ac:dyDescent="0.3">
      <c r="E42" s="3"/>
      <c r="I42" s="3"/>
      <c r="N42" s="3"/>
      <c r="S42" s="3"/>
      <c r="W42" s="3"/>
      <c r="X42" s="3"/>
      <c r="AB42" s="3"/>
      <c r="AC42" s="3"/>
      <c r="AG42" s="3"/>
      <c r="AH42" s="3"/>
      <c r="AL42" s="3"/>
      <c r="AM42" s="3"/>
      <c r="AQ42" s="3"/>
      <c r="AR42" s="3"/>
      <c r="AV42" s="3"/>
      <c r="AW42" s="3"/>
      <c r="BA42" s="3"/>
      <c r="BB42" s="3"/>
      <c r="BF42" s="3"/>
      <c r="BG42" s="3"/>
      <c r="BL42" s="3"/>
      <c r="BX42" s="4"/>
      <c r="BY42" s="4"/>
      <c r="BZ42" s="4"/>
      <c r="CA42" s="4"/>
      <c r="CB42" s="4"/>
      <c r="CC42" s="4"/>
      <c r="CD42" s="4"/>
    </row>
    <row r="43" spans="4:86" ht="15.75" customHeight="1" x14ac:dyDescent="0.3">
      <c r="E43" s="3"/>
      <c r="I43" s="3"/>
      <c r="N43" s="3"/>
      <c r="Q43" s="28"/>
      <c r="R43" s="3"/>
      <c r="S43" s="3"/>
      <c r="W43" s="3"/>
      <c r="X43" s="3"/>
      <c r="AB43" s="3"/>
      <c r="AC43" s="3"/>
      <c r="AG43" s="3"/>
      <c r="AH43" s="3"/>
      <c r="AL43" s="3"/>
      <c r="AM43" s="3"/>
      <c r="AQ43" s="3"/>
      <c r="AR43" s="3"/>
      <c r="AV43" s="3"/>
      <c r="AW43" s="3"/>
      <c r="BA43" s="3"/>
      <c r="BB43" s="3"/>
      <c r="BF43" s="3"/>
      <c r="BG43" s="3"/>
      <c r="BL43" s="3"/>
      <c r="BX43" s="4"/>
      <c r="BY43" s="4"/>
      <c r="BZ43" s="4"/>
      <c r="CA43" s="4"/>
      <c r="CB43" s="4"/>
      <c r="CC43" s="4"/>
      <c r="CD43" s="4"/>
    </row>
    <row r="44" spans="4:86" ht="15.75" customHeight="1" x14ac:dyDescent="0.3">
      <c r="E44" s="3"/>
      <c r="I44" s="3"/>
      <c r="N44" s="3"/>
      <c r="R44" s="3"/>
      <c r="S44" s="3"/>
      <c r="W44" s="3"/>
      <c r="X44" s="3"/>
      <c r="AB44" s="3"/>
      <c r="AC44" s="3"/>
      <c r="AG44" s="3"/>
      <c r="AH44" s="3"/>
      <c r="AL44" s="3"/>
      <c r="AM44" s="3"/>
      <c r="AQ44" s="3"/>
      <c r="AR44" s="3"/>
      <c r="AV44" s="3"/>
      <c r="AW44" s="3"/>
      <c r="BA44" s="3"/>
      <c r="BB44" s="3"/>
      <c r="BF44" s="3"/>
      <c r="BG44" s="3"/>
      <c r="BL44" s="3"/>
      <c r="BX44" s="4"/>
      <c r="BY44" s="4"/>
      <c r="BZ44" s="4"/>
      <c r="CA44" s="4"/>
      <c r="CB44" s="4"/>
      <c r="CC44" s="4"/>
      <c r="CD44" s="4"/>
    </row>
    <row r="45" spans="4:86" ht="15.75" customHeight="1" x14ac:dyDescent="0.3">
      <c r="E45" s="3"/>
      <c r="I45" s="3"/>
      <c r="N45" s="3"/>
      <c r="Q45" s="28"/>
      <c r="R45" s="3"/>
      <c r="S45" s="3"/>
      <c r="W45" s="3"/>
      <c r="X45" s="3"/>
      <c r="AB45" s="3"/>
      <c r="AC45" s="3"/>
      <c r="AG45" s="3"/>
      <c r="AH45" s="3"/>
      <c r="AL45" s="3"/>
      <c r="AM45" s="3"/>
      <c r="AQ45" s="3"/>
      <c r="AR45" s="3"/>
      <c r="AV45" s="3"/>
      <c r="AW45" s="3"/>
      <c r="BA45" s="3"/>
      <c r="BB45" s="3"/>
      <c r="BF45" s="3"/>
      <c r="BG45" s="3"/>
      <c r="BL45" s="3"/>
      <c r="BX45" s="4"/>
      <c r="BY45" s="4"/>
      <c r="BZ45" s="4"/>
      <c r="CA45" s="4"/>
      <c r="CB45" s="4"/>
      <c r="CC45" s="4"/>
      <c r="CD45" s="4"/>
    </row>
    <row r="46" spans="4:86" ht="15.75" customHeight="1" x14ac:dyDescent="0.3">
      <c r="E46" s="3"/>
      <c r="I46" s="3"/>
      <c r="N46" s="3"/>
      <c r="Q46" s="28"/>
      <c r="R46" s="3"/>
      <c r="S46" s="3"/>
      <c r="W46" s="3"/>
      <c r="X46" s="3"/>
      <c r="AB46" s="3"/>
      <c r="AC46" s="3"/>
      <c r="AG46" s="3"/>
      <c r="AH46" s="3"/>
      <c r="AL46" s="3"/>
      <c r="AM46" s="3"/>
      <c r="AQ46" s="3"/>
      <c r="AR46" s="3"/>
      <c r="AV46" s="3"/>
      <c r="AW46" s="3"/>
      <c r="BA46" s="3"/>
      <c r="BB46" s="3"/>
      <c r="BF46" s="3"/>
      <c r="BG46" s="3"/>
      <c r="BL46" s="3"/>
      <c r="BX46" s="4"/>
      <c r="BY46" s="4"/>
      <c r="BZ46" s="4"/>
      <c r="CA46" s="4"/>
      <c r="CB46" s="4"/>
      <c r="CC46" s="4"/>
      <c r="CD46" s="4"/>
    </row>
    <row r="47" spans="4:86" ht="15.75" customHeight="1" x14ac:dyDescent="0.3">
      <c r="E47" s="3"/>
      <c r="I47" s="3"/>
      <c r="N47" s="3"/>
      <c r="Q47" s="28"/>
      <c r="R47" s="3"/>
      <c r="S47" s="3"/>
      <c r="W47" s="3"/>
      <c r="X47" s="3"/>
      <c r="AB47" s="3"/>
      <c r="AC47" s="3"/>
      <c r="AG47" s="3"/>
      <c r="AH47" s="3"/>
      <c r="AL47" s="3"/>
      <c r="AM47" s="3"/>
      <c r="AQ47" s="3"/>
      <c r="AR47" s="3"/>
      <c r="AV47" s="3"/>
      <c r="AW47" s="3"/>
      <c r="BA47" s="3"/>
      <c r="BB47" s="3"/>
      <c r="BF47" s="3"/>
      <c r="BG47" s="3"/>
      <c r="BL47" s="3"/>
      <c r="BX47" s="4"/>
      <c r="BY47" s="4"/>
      <c r="BZ47" s="4"/>
      <c r="CA47" s="4"/>
      <c r="CB47" s="4"/>
      <c r="CC47" s="4"/>
      <c r="CD47" s="4"/>
    </row>
    <row r="48" spans="4:86" ht="15.75" customHeight="1" x14ac:dyDescent="0.3">
      <c r="E48" s="3"/>
      <c r="I48" s="3"/>
      <c r="N48" s="3"/>
      <c r="Q48" s="28"/>
      <c r="R48" s="3"/>
      <c r="S48" s="3"/>
      <c r="W48" s="3"/>
      <c r="X48" s="3"/>
      <c r="AB48" s="3"/>
      <c r="AC48" s="3"/>
      <c r="AG48" s="3"/>
      <c r="AH48" s="3"/>
      <c r="AL48" s="3"/>
      <c r="AM48" s="3"/>
      <c r="AQ48" s="3"/>
      <c r="AR48" s="3"/>
      <c r="AV48" s="3"/>
      <c r="AW48" s="3"/>
      <c r="BA48" s="3"/>
      <c r="BB48" s="3"/>
      <c r="BF48" s="3"/>
      <c r="BG48" s="3"/>
      <c r="BL48" s="3"/>
      <c r="BX48" s="4"/>
      <c r="BY48" s="4"/>
      <c r="BZ48" s="4"/>
      <c r="CA48" s="4"/>
      <c r="CB48" s="4"/>
      <c r="CC48" s="4"/>
      <c r="CD48" s="4"/>
    </row>
    <row r="49" spans="5:82" ht="15.75" customHeight="1" x14ac:dyDescent="0.3">
      <c r="E49" s="3"/>
      <c r="I49" s="3"/>
      <c r="N49" s="3"/>
      <c r="Q49" s="28"/>
      <c r="R49" s="3"/>
      <c r="S49" s="3"/>
      <c r="W49" s="3"/>
      <c r="X49" s="3"/>
      <c r="AB49" s="3"/>
      <c r="AC49" s="3"/>
      <c r="AG49" s="3"/>
      <c r="AH49" s="3"/>
      <c r="AL49" s="3"/>
      <c r="AM49" s="3"/>
      <c r="AQ49" s="3"/>
      <c r="AR49" s="3"/>
      <c r="AV49" s="3"/>
      <c r="AW49" s="3"/>
      <c r="BA49" s="3"/>
      <c r="BB49" s="3"/>
      <c r="BF49" s="3"/>
      <c r="BG49" s="3"/>
      <c r="BL49" s="3"/>
      <c r="BX49" s="4"/>
      <c r="BY49" s="4"/>
      <c r="BZ49" s="4"/>
      <c r="CA49" s="4"/>
      <c r="CB49" s="4"/>
      <c r="CC49" s="4"/>
      <c r="CD49" s="4"/>
    </row>
    <row r="50" spans="5:82" ht="15.75" customHeight="1" x14ac:dyDescent="0.3">
      <c r="E50" s="3"/>
      <c r="I50" s="3"/>
      <c r="N50" s="3"/>
      <c r="Q50" s="28"/>
      <c r="R50" s="3"/>
      <c r="S50" s="3"/>
      <c r="W50" s="3"/>
      <c r="X50" s="3"/>
      <c r="AB50" s="3"/>
      <c r="AC50" s="3"/>
      <c r="AG50" s="3"/>
      <c r="AH50" s="3"/>
      <c r="AL50" s="3"/>
      <c r="AM50" s="3"/>
      <c r="AQ50" s="3"/>
      <c r="AR50" s="3"/>
      <c r="AV50" s="3"/>
      <c r="AW50" s="3"/>
      <c r="BA50" s="3"/>
      <c r="BB50" s="3"/>
      <c r="BF50" s="3"/>
      <c r="BG50" s="3"/>
      <c r="BL50" s="3"/>
      <c r="BX50" s="4"/>
      <c r="BY50" s="4"/>
      <c r="BZ50" s="4"/>
      <c r="CA50" s="4"/>
      <c r="CB50" s="4"/>
      <c r="CC50" s="4"/>
      <c r="CD50" s="4"/>
    </row>
    <row r="51" spans="5:82" ht="15.75" customHeight="1" x14ac:dyDescent="0.3">
      <c r="E51" s="3"/>
      <c r="I51" s="3"/>
      <c r="N51" s="3"/>
      <c r="Q51" s="28"/>
      <c r="R51" s="3"/>
      <c r="S51" s="3"/>
      <c r="W51" s="3"/>
      <c r="X51" s="3"/>
      <c r="AB51" s="3"/>
      <c r="AC51" s="3"/>
      <c r="AG51" s="3"/>
      <c r="AH51" s="3"/>
      <c r="AL51" s="3"/>
      <c r="AM51" s="3"/>
      <c r="AQ51" s="3"/>
      <c r="AR51" s="3"/>
      <c r="AV51" s="3"/>
      <c r="AW51" s="3"/>
      <c r="BA51" s="3"/>
      <c r="BB51" s="3"/>
      <c r="BF51" s="3"/>
      <c r="BG51" s="3"/>
      <c r="BL51" s="3"/>
      <c r="BX51" s="4"/>
      <c r="BY51" s="4"/>
      <c r="BZ51" s="4"/>
      <c r="CA51" s="4"/>
      <c r="CB51" s="4"/>
      <c r="CC51" s="4"/>
      <c r="CD51" s="4"/>
    </row>
    <row r="52" spans="5:82" ht="15.75" customHeight="1" x14ac:dyDescent="0.3">
      <c r="E52" s="3"/>
      <c r="I52" s="3"/>
      <c r="N52" s="3"/>
      <c r="R52" s="3"/>
      <c r="S52" s="3"/>
      <c r="W52" s="3"/>
      <c r="X52" s="3"/>
      <c r="AB52" s="3"/>
      <c r="AC52" s="3"/>
      <c r="AG52" s="3"/>
      <c r="AH52" s="3"/>
      <c r="AL52" s="3"/>
      <c r="AM52" s="3"/>
      <c r="AQ52" s="3"/>
      <c r="AR52" s="3"/>
      <c r="AV52" s="3"/>
      <c r="AW52" s="3"/>
      <c r="BA52" s="3"/>
      <c r="BB52" s="3"/>
      <c r="BF52" s="3"/>
      <c r="BG52" s="3"/>
      <c r="BL52" s="3"/>
      <c r="BX52" s="4"/>
      <c r="BY52" s="4"/>
      <c r="BZ52" s="4"/>
      <c r="CA52" s="4"/>
      <c r="CB52" s="4"/>
      <c r="CC52" s="4"/>
      <c r="CD52" s="4"/>
    </row>
    <row r="53" spans="5:82" ht="15.75" customHeight="1" x14ac:dyDescent="0.3">
      <c r="E53" s="3"/>
      <c r="I53" s="3"/>
      <c r="N53" s="3"/>
      <c r="S53" s="3"/>
      <c r="X53" s="3"/>
      <c r="AC53" s="3"/>
      <c r="AH53" s="3"/>
      <c r="AM53" s="3"/>
      <c r="AR53" s="3"/>
      <c r="AW53" s="3"/>
      <c r="BB53" s="3"/>
      <c r="BG53" s="3"/>
      <c r="BM53" s="3"/>
      <c r="BV53" s="3"/>
      <c r="BX53" s="4"/>
      <c r="BY53" s="4"/>
      <c r="BZ53" s="4"/>
      <c r="CA53" s="4"/>
      <c r="CB53" s="4"/>
      <c r="CC53" s="4"/>
      <c r="CD53" s="4"/>
    </row>
    <row r="54" spans="5:82" ht="15.75" customHeight="1" x14ac:dyDescent="0.3">
      <c r="E54" s="3"/>
      <c r="I54" s="3"/>
      <c r="N54" s="3"/>
      <c r="S54" s="3"/>
      <c r="X54" s="3"/>
      <c r="AC54" s="3"/>
      <c r="AH54" s="3"/>
      <c r="AM54" s="3"/>
      <c r="AR54" s="3"/>
      <c r="AW54" s="3"/>
      <c r="BB54" s="3"/>
      <c r="BG54" s="3"/>
      <c r="BM54" s="3"/>
      <c r="BV54" s="3"/>
      <c r="BX54" s="4"/>
      <c r="BY54" s="4"/>
      <c r="BZ54" s="4"/>
      <c r="CA54" s="4"/>
      <c r="CB54" s="4"/>
      <c r="CC54" s="4"/>
      <c r="CD54" s="4"/>
    </row>
    <row r="55" spans="5:82" ht="15.75" customHeight="1" x14ac:dyDescent="0.3">
      <c r="E55" s="3"/>
      <c r="I55" s="3"/>
      <c r="N55" s="3"/>
      <c r="S55" s="3"/>
      <c r="X55" s="3"/>
      <c r="AC55" s="3"/>
      <c r="AH55" s="3"/>
      <c r="AM55" s="3"/>
      <c r="AR55" s="3"/>
      <c r="AW55" s="3"/>
      <c r="BB55" s="3"/>
      <c r="BG55" s="3"/>
      <c r="BM55" s="3"/>
      <c r="BV55" s="3"/>
      <c r="BX55" s="4"/>
      <c r="BY55" s="4"/>
      <c r="BZ55" s="4"/>
      <c r="CA55" s="4"/>
      <c r="CB55" s="4"/>
      <c r="CC55" s="4"/>
      <c r="CD55" s="4"/>
    </row>
    <row r="56" spans="5:82" ht="15.75" customHeight="1" x14ac:dyDescent="0.3">
      <c r="E56" s="3"/>
      <c r="I56" s="3"/>
      <c r="N56" s="3"/>
      <c r="S56" s="3"/>
      <c r="X56" s="3"/>
      <c r="AC56" s="3"/>
      <c r="AH56" s="3"/>
      <c r="AM56" s="3"/>
      <c r="AR56" s="3"/>
      <c r="AW56" s="3"/>
      <c r="BB56" s="3"/>
      <c r="BG56" s="3"/>
      <c r="BM56" s="3"/>
      <c r="BV56" s="3"/>
      <c r="BX56" s="4"/>
      <c r="BY56" s="4"/>
      <c r="BZ56" s="4"/>
      <c r="CA56" s="4"/>
      <c r="CB56" s="4"/>
      <c r="CC56" s="4"/>
      <c r="CD56" s="4"/>
    </row>
    <row r="57" spans="5:82" ht="15.75" customHeight="1" x14ac:dyDescent="0.3">
      <c r="E57" s="3"/>
      <c r="I57" s="3"/>
      <c r="N57" s="3"/>
      <c r="S57" s="3"/>
      <c r="X57" s="3"/>
      <c r="AC57" s="3"/>
      <c r="AH57" s="3"/>
      <c r="AM57" s="3"/>
      <c r="AR57" s="3"/>
      <c r="AW57" s="3"/>
      <c r="BB57" s="3"/>
      <c r="BG57" s="3"/>
      <c r="BM57" s="3"/>
      <c r="BV57" s="3"/>
      <c r="BX57" s="4"/>
      <c r="BY57" s="4"/>
      <c r="BZ57" s="4"/>
      <c r="CA57" s="4"/>
      <c r="CB57" s="4"/>
      <c r="CC57" s="4"/>
      <c r="CD57" s="4"/>
    </row>
    <row r="58" spans="5:82" ht="15.75" customHeight="1" x14ac:dyDescent="0.3">
      <c r="E58" s="3"/>
      <c r="I58" s="3"/>
      <c r="N58" s="3"/>
      <c r="S58" s="3"/>
      <c r="X58" s="3"/>
      <c r="AC58" s="3"/>
      <c r="AH58" s="3"/>
      <c r="AM58" s="3"/>
      <c r="AR58" s="3"/>
      <c r="AW58" s="3"/>
      <c r="BB58" s="3"/>
      <c r="BG58" s="3"/>
      <c r="BM58" s="3"/>
      <c r="BV58" s="3"/>
      <c r="BX58" s="4"/>
      <c r="BY58" s="4"/>
      <c r="BZ58" s="4"/>
      <c r="CA58" s="4"/>
      <c r="CB58" s="4"/>
      <c r="CC58" s="4"/>
      <c r="CD58" s="4"/>
    </row>
    <row r="59" spans="5:82" ht="15.75" customHeight="1" x14ac:dyDescent="0.3">
      <c r="E59" s="3"/>
      <c r="I59" s="3"/>
      <c r="N59" s="3"/>
      <c r="S59" s="3"/>
      <c r="X59" s="3"/>
      <c r="AC59" s="3"/>
      <c r="AH59" s="3"/>
      <c r="AM59" s="3"/>
      <c r="AR59" s="3"/>
      <c r="AW59" s="3"/>
      <c r="BB59" s="3"/>
      <c r="BG59" s="3"/>
      <c r="BM59" s="3"/>
      <c r="BV59" s="3"/>
      <c r="BX59" s="4"/>
      <c r="BY59" s="4"/>
      <c r="BZ59" s="4"/>
      <c r="CA59" s="4"/>
      <c r="CB59" s="4"/>
      <c r="CC59" s="4"/>
      <c r="CD59" s="4"/>
    </row>
    <row r="60" spans="5:82" ht="15.75" customHeight="1" x14ac:dyDescent="0.3">
      <c r="E60" s="3"/>
      <c r="I60" s="3"/>
      <c r="N60" s="3"/>
      <c r="S60" s="3"/>
      <c r="X60" s="3"/>
      <c r="AC60" s="3"/>
      <c r="AH60" s="3"/>
      <c r="AM60" s="3"/>
      <c r="AR60" s="3"/>
      <c r="AW60" s="3"/>
      <c r="BB60" s="3"/>
      <c r="BG60" s="3"/>
      <c r="BM60" s="3"/>
      <c r="BV60" s="3"/>
      <c r="BX60" s="4"/>
      <c r="BY60" s="4"/>
      <c r="BZ60" s="4"/>
      <c r="CA60" s="4"/>
      <c r="CB60" s="4"/>
      <c r="CC60" s="4"/>
      <c r="CD60" s="4"/>
    </row>
    <row r="61" spans="5:82" ht="15.75" customHeight="1" x14ac:dyDescent="0.3">
      <c r="E61" s="3"/>
      <c r="I61" s="3"/>
      <c r="N61" s="3"/>
      <c r="S61" s="3"/>
      <c r="X61" s="3"/>
      <c r="AC61" s="3"/>
      <c r="AH61" s="3"/>
      <c r="AM61" s="3"/>
      <c r="AR61" s="3"/>
      <c r="AW61" s="3"/>
      <c r="BB61" s="3"/>
      <c r="BG61" s="3"/>
      <c r="BM61" s="3"/>
      <c r="BV61" s="3"/>
      <c r="BX61" s="4"/>
      <c r="BY61" s="4"/>
      <c r="BZ61" s="4"/>
      <c r="CA61" s="4"/>
      <c r="CB61" s="4"/>
      <c r="CC61" s="4"/>
      <c r="CD61" s="4"/>
    </row>
    <row r="62" spans="5:82" ht="15.75" customHeight="1" x14ac:dyDescent="0.3">
      <c r="E62" s="3"/>
      <c r="I62" s="3"/>
      <c r="N62" s="3"/>
      <c r="S62" s="3"/>
      <c r="X62" s="3"/>
      <c r="AC62" s="3"/>
      <c r="AH62" s="3"/>
      <c r="AM62" s="3"/>
      <c r="AR62" s="3"/>
      <c r="AW62" s="3"/>
      <c r="BB62" s="3"/>
      <c r="BG62" s="3"/>
      <c r="BM62" s="3"/>
      <c r="BV62" s="3"/>
      <c r="BX62" s="4"/>
      <c r="BY62" s="4"/>
      <c r="BZ62" s="4"/>
      <c r="CA62" s="4"/>
      <c r="CB62" s="4"/>
      <c r="CC62" s="4"/>
      <c r="CD62" s="4"/>
    </row>
    <row r="63" spans="5:82" ht="15.75" customHeight="1" x14ac:dyDescent="0.3">
      <c r="E63" s="3"/>
      <c r="I63" s="3"/>
      <c r="N63" s="3"/>
      <c r="S63" s="3"/>
      <c r="X63" s="3"/>
      <c r="AC63" s="3"/>
      <c r="AH63" s="3"/>
      <c r="AM63" s="3"/>
      <c r="AR63" s="3"/>
      <c r="AW63" s="3"/>
      <c r="BB63" s="3"/>
      <c r="BG63" s="3"/>
      <c r="BM63" s="3"/>
      <c r="BV63" s="3"/>
      <c r="BX63" s="4"/>
      <c r="BY63" s="4"/>
      <c r="BZ63" s="4"/>
      <c r="CA63" s="4"/>
      <c r="CB63" s="4"/>
      <c r="CC63" s="4"/>
      <c r="CD63" s="4"/>
    </row>
    <row r="64" spans="5:82" ht="15.75" customHeight="1" x14ac:dyDescent="0.3">
      <c r="E64" s="3"/>
      <c r="I64" s="3"/>
      <c r="N64" s="3"/>
      <c r="S64" s="3"/>
      <c r="X64" s="3"/>
      <c r="AC64" s="3"/>
      <c r="AH64" s="3"/>
      <c r="AM64" s="3"/>
      <c r="AR64" s="3"/>
      <c r="AW64" s="3"/>
      <c r="BB64" s="3"/>
      <c r="BG64" s="3"/>
      <c r="BM64" s="3"/>
      <c r="BV64" s="3"/>
      <c r="BX64" s="4"/>
      <c r="BY64" s="4"/>
      <c r="BZ64" s="4"/>
      <c r="CA64" s="4"/>
      <c r="CB64" s="4"/>
      <c r="CC64" s="4"/>
      <c r="CD64" s="4"/>
    </row>
    <row r="65" spans="5:82" ht="15.75" customHeight="1" x14ac:dyDescent="0.3">
      <c r="E65" s="3"/>
      <c r="I65" s="3"/>
      <c r="N65" s="3"/>
      <c r="S65" s="3"/>
      <c r="X65" s="3"/>
      <c r="AC65" s="3"/>
      <c r="AH65" s="3"/>
      <c r="AM65" s="3"/>
      <c r="AR65" s="3"/>
      <c r="AW65" s="3"/>
      <c r="BB65" s="3"/>
      <c r="BG65" s="3"/>
      <c r="BM65" s="3"/>
      <c r="BV65" s="3"/>
      <c r="BX65" s="4"/>
      <c r="BY65" s="4"/>
      <c r="BZ65" s="4"/>
      <c r="CA65" s="4"/>
      <c r="CB65" s="4"/>
      <c r="CC65" s="4"/>
      <c r="CD65" s="4"/>
    </row>
    <row r="66" spans="5:82" ht="15.75" customHeight="1" x14ac:dyDescent="0.3">
      <c r="E66" s="3"/>
      <c r="I66" s="3"/>
      <c r="N66" s="3"/>
      <c r="S66" s="3"/>
      <c r="X66" s="3"/>
      <c r="AC66" s="3"/>
      <c r="AH66" s="3"/>
      <c r="AM66" s="3"/>
      <c r="AR66" s="3"/>
      <c r="AW66" s="3"/>
      <c r="BB66" s="3"/>
      <c r="BG66" s="3"/>
      <c r="BM66" s="3"/>
      <c r="BV66" s="3"/>
      <c r="BX66" s="4"/>
      <c r="BY66" s="4"/>
      <c r="BZ66" s="4"/>
      <c r="CA66" s="4"/>
      <c r="CB66" s="4"/>
      <c r="CC66" s="4"/>
      <c r="CD66" s="4"/>
    </row>
    <row r="67" spans="5:82" ht="15.75" customHeight="1" x14ac:dyDescent="0.3">
      <c r="E67" s="3"/>
      <c r="I67" s="3"/>
      <c r="N67" s="3"/>
      <c r="S67" s="3"/>
      <c r="X67" s="3"/>
      <c r="AC67" s="3"/>
      <c r="AH67" s="3"/>
      <c r="AM67" s="3"/>
      <c r="AR67" s="3"/>
      <c r="AW67" s="3"/>
      <c r="BB67" s="3"/>
      <c r="BG67" s="3"/>
      <c r="BM67" s="3"/>
      <c r="BV67" s="3"/>
      <c r="BX67" s="4"/>
      <c r="BY67" s="4"/>
      <c r="BZ67" s="4"/>
      <c r="CA67" s="4"/>
      <c r="CB67" s="4"/>
      <c r="CC67" s="4"/>
      <c r="CD67" s="4"/>
    </row>
    <row r="68" spans="5:82" ht="15.75" customHeight="1" x14ac:dyDescent="0.3">
      <c r="E68" s="3"/>
      <c r="I68" s="3"/>
      <c r="N68" s="3"/>
      <c r="S68" s="3"/>
      <c r="X68" s="3"/>
      <c r="AC68" s="3"/>
      <c r="AH68" s="3"/>
      <c r="AM68" s="3"/>
      <c r="AR68" s="3"/>
      <c r="AW68" s="3"/>
      <c r="BB68" s="3"/>
      <c r="BG68" s="3"/>
      <c r="BM68" s="3"/>
      <c r="BV68" s="3"/>
      <c r="BX68" s="4"/>
      <c r="BY68" s="4"/>
      <c r="BZ68" s="4"/>
      <c r="CA68" s="4"/>
      <c r="CB68" s="4"/>
      <c r="CC68" s="4"/>
      <c r="CD68" s="4"/>
    </row>
    <row r="69" spans="5:82" ht="15.75" customHeight="1" x14ac:dyDescent="0.3">
      <c r="E69" s="3"/>
      <c r="I69" s="3"/>
      <c r="N69" s="3"/>
      <c r="S69" s="3"/>
      <c r="X69" s="3"/>
      <c r="AC69" s="3"/>
      <c r="AH69" s="3"/>
      <c r="AM69" s="3"/>
      <c r="AR69" s="3"/>
      <c r="AW69" s="3"/>
      <c r="BB69" s="3"/>
      <c r="BG69" s="3"/>
      <c r="BM69" s="3"/>
      <c r="BV69" s="3"/>
      <c r="BX69" s="4"/>
      <c r="BY69" s="4"/>
      <c r="BZ69" s="4"/>
      <c r="CA69" s="4"/>
      <c r="CB69" s="4"/>
      <c r="CC69" s="4"/>
      <c r="CD69" s="4"/>
    </row>
    <row r="70" spans="5:82" ht="15.75" customHeight="1" x14ac:dyDescent="0.3">
      <c r="E70" s="3"/>
      <c r="I70" s="3"/>
      <c r="N70" s="3"/>
      <c r="S70" s="3"/>
      <c r="X70" s="3"/>
      <c r="AC70" s="3"/>
      <c r="AH70" s="3"/>
      <c r="AM70" s="3"/>
      <c r="AR70" s="3"/>
      <c r="AW70" s="3"/>
      <c r="BB70" s="3"/>
      <c r="BG70" s="3"/>
      <c r="BM70" s="3"/>
      <c r="BV70" s="3"/>
      <c r="BX70" s="4"/>
      <c r="BY70" s="4"/>
      <c r="BZ70" s="4"/>
      <c r="CA70" s="4"/>
      <c r="CB70" s="4"/>
      <c r="CC70" s="4"/>
      <c r="CD70" s="4"/>
    </row>
    <row r="71" spans="5:82" ht="15.75" customHeight="1" x14ac:dyDescent="0.3">
      <c r="E71" s="3"/>
      <c r="I71" s="3"/>
      <c r="N71" s="3"/>
      <c r="S71" s="3"/>
      <c r="X71" s="3"/>
      <c r="AC71" s="3"/>
      <c r="AH71" s="3"/>
      <c r="AM71" s="3"/>
      <c r="AR71" s="3"/>
      <c r="AW71" s="3"/>
      <c r="BB71" s="3"/>
      <c r="BG71" s="3"/>
      <c r="BM71" s="3"/>
      <c r="BV71" s="3"/>
      <c r="BX71" s="4"/>
      <c r="BY71" s="4"/>
      <c r="BZ71" s="4"/>
      <c r="CA71" s="4"/>
      <c r="CB71" s="4"/>
      <c r="CC71" s="4"/>
      <c r="CD71" s="4"/>
    </row>
    <row r="72" spans="5:82" ht="15.75" customHeight="1" x14ac:dyDescent="0.3">
      <c r="E72" s="3"/>
      <c r="I72" s="3"/>
      <c r="N72" s="3"/>
      <c r="S72" s="3"/>
      <c r="X72" s="3"/>
      <c r="AC72" s="3"/>
      <c r="AH72" s="3"/>
      <c r="AM72" s="3"/>
      <c r="AR72" s="3"/>
      <c r="AW72" s="3"/>
      <c r="BB72" s="3"/>
      <c r="BG72" s="3"/>
      <c r="BM72" s="3"/>
      <c r="BV72" s="3"/>
      <c r="BX72" s="4"/>
      <c r="BY72" s="4"/>
      <c r="BZ72" s="4"/>
      <c r="CA72" s="4"/>
      <c r="CB72" s="4"/>
      <c r="CC72" s="4"/>
      <c r="CD72" s="4"/>
    </row>
    <row r="73" spans="5:82" ht="15.75" customHeight="1" x14ac:dyDescent="0.3">
      <c r="E73" s="3"/>
      <c r="I73" s="3"/>
      <c r="N73" s="3"/>
      <c r="S73" s="3"/>
      <c r="X73" s="3"/>
      <c r="AC73" s="3"/>
      <c r="AH73" s="3"/>
      <c r="AM73" s="3"/>
      <c r="AR73" s="3"/>
      <c r="AW73" s="3"/>
      <c r="BB73" s="3"/>
      <c r="BG73" s="3"/>
      <c r="BM73" s="3"/>
      <c r="BV73" s="3"/>
      <c r="BX73" s="4"/>
      <c r="BY73" s="4"/>
      <c r="BZ73" s="4"/>
      <c r="CA73" s="4"/>
      <c r="CB73" s="4"/>
      <c r="CC73" s="4"/>
      <c r="CD73" s="4"/>
    </row>
    <row r="74" spans="5:82" ht="15.75" customHeight="1" x14ac:dyDescent="0.3">
      <c r="E74" s="3"/>
      <c r="I74" s="3"/>
      <c r="N74" s="3"/>
      <c r="S74" s="3"/>
      <c r="X74" s="3"/>
      <c r="AC74" s="3"/>
      <c r="AH74" s="3"/>
      <c r="AM74" s="3"/>
      <c r="AR74" s="3"/>
      <c r="AW74" s="3"/>
      <c r="BB74" s="3"/>
      <c r="BG74" s="3"/>
      <c r="BM74" s="3"/>
      <c r="BV74" s="3"/>
      <c r="BX74" s="4"/>
      <c r="BY74" s="4"/>
      <c r="BZ74" s="4"/>
      <c r="CA74" s="4"/>
      <c r="CB74" s="4"/>
      <c r="CC74" s="4"/>
      <c r="CD74" s="4"/>
    </row>
    <row r="75" spans="5:82" ht="15.75" customHeight="1" x14ac:dyDescent="0.3">
      <c r="E75" s="3"/>
      <c r="I75" s="3"/>
      <c r="N75" s="3"/>
      <c r="S75" s="3"/>
      <c r="X75" s="3"/>
      <c r="AC75" s="3"/>
      <c r="AH75" s="3"/>
      <c r="AM75" s="3"/>
      <c r="AR75" s="3"/>
      <c r="AW75" s="3"/>
      <c r="BB75" s="3"/>
      <c r="BG75" s="3"/>
      <c r="BM75" s="3"/>
      <c r="BV75" s="3"/>
      <c r="BX75" s="4"/>
      <c r="BY75" s="4"/>
      <c r="BZ75" s="4"/>
      <c r="CA75" s="4"/>
      <c r="CB75" s="4"/>
      <c r="CC75" s="4"/>
      <c r="CD75" s="4"/>
    </row>
    <row r="76" spans="5:82" ht="15.75" customHeight="1" x14ac:dyDescent="0.3">
      <c r="E76" s="3"/>
      <c r="I76" s="3"/>
      <c r="N76" s="3"/>
      <c r="S76" s="3"/>
      <c r="X76" s="3"/>
      <c r="AC76" s="3"/>
      <c r="AH76" s="3"/>
      <c r="AM76" s="3"/>
      <c r="AR76" s="3"/>
      <c r="AW76" s="3"/>
      <c r="BB76" s="3"/>
      <c r="BG76" s="3"/>
      <c r="BM76" s="3"/>
      <c r="BV76" s="3"/>
      <c r="BX76" s="4"/>
      <c r="BY76" s="4"/>
      <c r="BZ76" s="4"/>
      <c r="CA76" s="4"/>
      <c r="CB76" s="4"/>
      <c r="CC76" s="4"/>
      <c r="CD76" s="4"/>
    </row>
    <row r="77" spans="5:82" ht="15.75" customHeight="1" x14ac:dyDescent="0.3">
      <c r="E77" s="3"/>
      <c r="I77" s="3"/>
      <c r="N77" s="3"/>
      <c r="S77" s="3"/>
      <c r="X77" s="3"/>
      <c r="AC77" s="3"/>
      <c r="AH77" s="3"/>
      <c r="AM77" s="3"/>
      <c r="AR77" s="3"/>
      <c r="AW77" s="3"/>
      <c r="BB77" s="3"/>
      <c r="BG77" s="3"/>
      <c r="BM77" s="3"/>
      <c r="BV77" s="3"/>
      <c r="BX77" s="4"/>
      <c r="BY77" s="4"/>
      <c r="BZ77" s="4"/>
      <c r="CA77" s="4"/>
      <c r="CB77" s="4"/>
      <c r="CC77" s="4"/>
      <c r="CD77" s="4"/>
    </row>
    <row r="78" spans="5:82" ht="15.75" customHeight="1" x14ac:dyDescent="0.3">
      <c r="E78" s="3"/>
      <c r="I78" s="3"/>
      <c r="N78" s="3"/>
      <c r="S78" s="3"/>
      <c r="X78" s="3"/>
      <c r="AC78" s="3"/>
      <c r="AH78" s="3"/>
      <c r="AM78" s="3"/>
      <c r="AR78" s="3"/>
      <c r="AW78" s="3"/>
      <c r="BB78" s="3"/>
      <c r="BG78" s="3"/>
      <c r="BM78" s="3"/>
      <c r="BV78" s="3"/>
      <c r="BX78" s="4"/>
      <c r="BY78" s="4"/>
      <c r="BZ78" s="4"/>
      <c r="CA78" s="4"/>
      <c r="CB78" s="4"/>
      <c r="CC78" s="4"/>
      <c r="CD78" s="4"/>
    </row>
    <row r="79" spans="5:82" ht="15.75" customHeight="1" x14ac:dyDescent="0.3">
      <c r="E79" s="3"/>
      <c r="I79" s="3"/>
      <c r="N79" s="3"/>
      <c r="S79" s="3"/>
      <c r="X79" s="3"/>
      <c r="AC79" s="3"/>
      <c r="AH79" s="3"/>
      <c r="AM79" s="3"/>
      <c r="AR79" s="3"/>
      <c r="AW79" s="3"/>
      <c r="BB79" s="3"/>
      <c r="BG79" s="3"/>
      <c r="BM79" s="3"/>
      <c r="BV79" s="3"/>
      <c r="BX79" s="4"/>
      <c r="BY79" s="4"/>
      <c r="BZ79" s="4"/>
      <c r="CA79" s="4"/>
      <c r="CB79" s="4"/>
      <c r="CC79" s="4"/>
      <c r="CD79" s="4"/>
    </row>
    <row r="80" spans="5:82" ht="15.75" customHeight="1" x14ac:dyDescent="0.3">
      <c r="E80" s="3"/>
      <c r="I80" s="3"/>
      <c r="N80" s="3"/>
      <c r="S80" s="3"/>
      <c r="X80" s="3"/>
      <c r="AC80" s="3"/>
      <c r="AH80" s="3"/>
      <c r="AM80" s="3"/>
      <c r="AR80" s="3"/>
      <c r="AW80" s="3"/>
      <c r="BB80" s="3"/>
      <c r="BG80" s="3"/>
      <c r="BM80" s="3"/>
      <c r="BV80" s="3"/>
      <c r="BX80" s="4"/>
      <c r="BY80" s="4"/>
      <c r="BZ80" s="4"/>
      <c r="CA80" s="4"/>
      <c r="CB80" s="4"/>
      <c r="CC80" s="4"/>
      <c r="CD80" s="4"/>
    </row>
    <row r="81" spans="5:82" ht="15.75" customHeight="1" x14ac:dyDescent="0.3">
      <c r="E81" s="3"/>
      <c r="I81" s="3"/>
      <c r="N81" s="3"/>
      <c r="S81" s="3"/>
      <c r="X81" s="3"/>
      <c r="AC81" s="3"/>
      <c r="AH81" s="3"/>
      <c r="AM81" s="3"/>
      <c r="AR81" s="3"/>
      <c r="AW81" s="3"/>
      <c r="BB81" s="3"/>
      <c r="BG81" s="3"/>
      <c r="BM81" s="3"/>
      <c r="BV81" s="3"/>
      <c r="BX81" s="4"/>
      <c r="BY81" s="4"/>
      <c r="BZ81" s="4"/>
      <c r="CA81" s="4"/>
      <c r="CB81" s="4"/>
      <c r="CC81" s="4"/>
      <c r="CD81" s="4"/>
    </row>
    <row r="82" spans="5:82" ht="15.75" customHeight="1" x14ac:dyDescent="0.3">
      <c r="E82" s="3"/>
      <c r="I82" s="3"/>
      <c r="N82" s="3"/>
      <c r="S82" s="3"/>
      <c r="X82" s="3"/>
      <c r="AC82" s="3"/>
      <c r="AH82" s="3"/>
      <c r="AM82" s="3"/>
      <c r="AR82" s="3"/>
      <c r="AW82" s="3"/>
      <c r="BB82" s="3"/>
      <c r="BG82" s="3"/>
      <c r="BM82" s="3"/>
      <c r="BV82" s="3"/>
      <c r="BX82" s="4"/>
      <c r="BY82" s="4"/>
      <c r="BZ82" s="4"/>
      <c r="CA82" s="4"/>
      <c r="CB82" s="4"/>
      <c r="CC82" s="4"/>
      <c r="CD82" s="4"/>
    </row>
    <row r="83" spans="5:82" ht="15.75" customHeight="1" x14ac:dyDescent="0.3">
      <c r="E83" s="3"/>
      <c r="I83" s="3"/>
      <c r="N83" s="3"/>
      <c r="S83" s="3"/>
      <c r="X83" s="3"/>
      <c r="AC83" s="3"/>
      <c r="AH83" s="3"/>
      <c r="AM83" s="3"/>
      <c r="AR83" s="3"/>
      <c r="AW83" s="3"/>
      <c r="BB83" s="3"/>
      <c r="BG83" s="3"/>
      <c r="BM83" s="3"/>
      <c r="BV83" s="3"/>
      <c r="BX83" s="4"/>
      <c r="BY83" s="4"/>
      <c r="BZ83" s="4"/>
      <c r="CA83" s="4"/>
      <c r="CB83" s="4"/>
      <c r="CC83" s="4"/>
      <c r="CD83" s="4"/>
    </row>
    <row r="84" spans="5:82" ht="15.75" customHeight="1" x14ac:dyDescent="0.3">
      <c r="E84" s="3"/>
      <c r="I84" s="3"/>
      <c r="N84" s="3"/>
      <c r="S84" s="3"/>
      <c r="X84" s="3"/>
      <c r="AC84" s="3"/>
      <c r="AH84" s="3"/>
      <c r="AM84" s="3"/>
      <c r="AR84" s="3"/>
      <c r="AW84" s="3"/>
      <c r="BB84" s="3"/>
      <c r="BG84" s="3"/>
      <c r="BM84" s="3"/>
      <c r="BV84" s="3"/>
      <c r="BX84" s="4"/>
      <c r="BY84" s="4"/>
      <c r="BZ84" s="4"/>
      <c r="CA84" s="4"/>
      <c r="CB84" s="4"/>
      <c r="CC84" s="4"/>
      <c r="CD84" s="4"/>
    </row>
    <row r="85" spans="5:82" ht="15.75" customHeight="1" x14ac:dyDescent="0.3">
      <c r="E85" s="3"/>
      <c r="I85" s="3"/>
      <c r="N85" s="3"/>
      <c r="S85" s="3"/>
      <c r="X85" s="3"/>
      <c r="AC85" s="3"/>
      <c r="AH85" s="3"/>
      <c r="AM85" s="3"/>
      <c r="AR85" s="3"/>
      <c r="AW85" s="3"/>
      <c r="BB85" s="3"/>
      <c r="BG85" s="3"/>
      <c r="BM85" s="3"/>
      <c r="BV85" s="3"/>
      <c r="BX85" s="4"/>
      <c r="BY85" s="4"/>
      <c r="BZ85" s="4"/>
      <c r="CA85" s="4"/>
      <c r="CB85" s="4"/>
      <c r="CC85" s="4"/>
      <c r="CD85" s="4"/>
    </row>
    <row r="86" spans="5:82" ht="15.75" customHeight="1" x14ac:dyDescent="0.3">
      <c r="E86" s="3"/>
      <c r="I86" s="3"/>
      <c r="N86" s="3"/>
      <c r="S86" s="3"/>
      <c r="X86" s="3"/>
      <c r="AC86" s="3"/>
      <c r="AH86" s="3"/>
      <c r="AM86" s="3"/>
      <c r="AR86" s="3"/>
      <c r="AW86" s="3"/>
      <c r="BB86" s="3"/>
      <c r="BG86" s="3"/>
      <c r="BM86" s="3"/>
      <c r="BV86" s="3"/>
      <c r="BX86" s="4"/>
      <c r="BY86" s="4"/>
      <c r="BZ86" s="4"/>
      <c r="CA86" s="4"/>
      <c r="CB86" s="4"/>
      <c r="CC86" s="4"/>
      <c r="CD86" s="4"/>
    </row>
    <row r="87" spans="5:82" ht="15.75" customHeight="1" x14ac:dyDescent="0.3">
      <c r="E87" s="3"/>
      <c r="I87" s="3"/>
      <c r="N87" s="3"/>
      <c r="S87" s="3"/>
      <c r="X87" s="3"/>
      <c r="AC87" s="3"/>
      <c r="AH87" s="3"/>
      <c r="AM87" s="3"/>
      <c r="AR87" s="3"/>
      <c r="AW87" s="3"/>
      <c r="BB87" s="3"/>
      <c r="BG87" s="3"/>
      <c r="BM87" s="3"/>
      <c r="BV87" s="3"/>
      <c r="BX87" s="4"/>
      <c r="BY87" s="4"/>
      <c r="BZ87" s="4"/>
      <c r="CA87" s="4"/>
      <c r="CB87" s="4"/>
      <c r="CC87" s="4"/>
      <c r="CD87" s="4"/>
    </row>
    <row r="88" spans="5:82" ht="15.75" customHeight="1" x14ac:dyDescent="0.3">
      <c r="E88" s="3"/>
      <c r="I88" s="3"/>
      <c r="N88" s="3"/>
      <c r="S88" s="3"/>
      <c r="X88" s="3"/>
      <c r="AC88" s="3"/>
      <c r="AH88" s="3"/>
      <c r="AM88" s="3"/>
      <c r="AR88" s="3"/>
      <c r="AW88" s="3"/>
      <c r="BB88" s="3"/>
      <c r="BG88" s="3"/>
      <c r="BM88" s="3"/>
      <c r="BV88" s="3"/>
      <c r="BX88" s="4"/>
      <c r="BY88" s="4"/>
      <c r="BZ88" s="4"/>
      <c r="CA88" s="4"/>
      <c r="CB88" s="4"/>
      <c r="CC88" s="4"/>
      <c r="CD88" s="4"/>
    </row>
    <row r="89" spans="5:82" ht="15.75" customHeight="1" x14ac:dyDescent="0.3">
      <c r="E89" s="3"/>
      <c r="I89" s="3"/>
      <c r="N89" s="3"/>
      <c r="S89" s="3"/>
      <c r="X89" s="3"/>
      <c r="AC89" s="3"/>
      <c r="AH89" s="3"/>
      <c r="AM89" s="3"/>
      <c r="AR89" s="3"/>
      <c r="AW89" s="3"/>
      <c r="BB89" s="3"/>
      <c r="BG89" s="3"/>
      <c r="BM89" s="3"/>
      <c r="BV89" s="3"/>
      <c r="BX89" s="4"/>
      <c r="BY89" s="4"/>
      <c r="BZ89" s="4"/>
      <c r="CA89" s="4"/>
      <c r="CB89" s="4"/>
      <c r="CC89" s="4"/>
      <c r="CD89" s="4"/>
    </row>
    <row r="90" spans="5:82" ht="15.75" customHeight="1" x14ac:dyDescent="0.3">
      <c r="E90" s="3"/>
      <c r="I90" s="3"/>
      <c r="N90" s="3"/>
      <c r="S90" s="3"/>
      <c r="X90" s="3"/>
      <c r="AC90" s="3"/>
      <c r="AH90" s="3"/>
      <c r="AM90" s="3"/>
      <c r="AR90" s="3"/>
      <c r="AW90" s="3"/>
      <c r="BB90" s="3"/>
      <c r="BG90" s="3"/>
      <c r="BM90" s="3"/>
      <c r="BV90" s="3"/>
      <c r="BX90" s="4"/>
      <c r="BY90" s="4"/>
      <c r="BZ90" s="4"/>
      <c r="CA90" s="4"/>
      <c r="CB90" s="4"/>
      <c r="CC90" s="4"/>
      <c r="CD90" s="4"/>
    </row>
    <row r="91" spans="5:82" ht="15.75" customHeight="1" x14ac:dyDescent="0.3">
      <c r="E91" s="3"/>
      <c r="I91" s="3"/>
      <c r="N91" s="3"/>
      <c r="S91" s="3"/>
      <c r="X91" s="3"/>
      <c r="AC91" s="3"/>
      <c r="AH91" s="3"/>
      <c r="AM91" s="3"/>
      <c r="AR91" s="3"/>
      <c r="AW91" s="3"/>
      <c r="BB91" s="3"/>
      <c r="BG91" s="3"/>
      <c r="BM91" s="3"/>
      <c r="BV91" s="3"/>
      <c r="BX91" s="4"/>
      <c r="BY91" s="4"/>
      <c r="BZ91" s="4"/>
      <c r="CA91" s="4"/>
      <c r="CB91" s="4"/>
      <c r="CC91" s="4"/>
      <c r="CD91" s="4"/>
    </row>
    <row r="92" spans="5:82" ht="15.75" customHeight="1" x14ac:dyDescent="0.3">
      <c r="E92" s="3"/>
      <c r="I92" s="3"/>
      <c r="N92" s="3"/>
      <c r="S92" s="3"/>
      <c r="X92" s="3"/>
      <c r="AC92" s="3"/>
      <c r="AH92" s="3"/>
      <c r="AM92" s="3"/>
      <c r="AR92" s="3"/>
      <c r="AW92" s="3"/>
      <c r="BB92" s="3"/>
      <c r="BG92" s="3"/>
      <c r="BM92" s="3"/>
      <c r="BV92" s="3"/>
      <c r="BX92" s="4"/>
      <c r="BY92" s="4"/>
      <c r="BZ92" s="4"/>
      <c r="CA92" s="4"/>
      <c r="CB92" s="4"/>
      <c r="CC92" s="4"/>
      <c r="CD92" s="4"/>
    </row>
    <row r="93" spans="5:82" ht="15.75" customHeight="1" x14ac:dyDescent="0.3">
      <c r="E93" s="3"/>
      <c r="I93" s="3"/>
      <c r="N93" s="3"/>
      <c r="S93" s="3"/>
      <c r="X93" s="3"/>
      <c r="AC93" s="3"/>
      <c r="AH93" s="3"/>
      <c r="AM93" s="3"/>
      <c r="AR93" s="3"/>
      <c r="AW93" s="3"/>
      <c r="BB93" s="3"/>
      <c r="BG93" s="3"/>
      <c r="BM93" s="3"/>
      <c r="BV93" s="3"/>
      <c r="BX93" s="4"/>
      <c r="BY93" s="4"/>
      <c r="BZ93" s="4"/>
      <c r="CA93" s="4"/>
      <c r="CB93" s="4"/>
      <c r="CC93" s="4"/>
      <c r="CD93" s="4"/>
    </row>
    <row r="94" spans="5:82" ht="15.75" customHeight="1" x14ac:dyDescent="0.3">
      <c r="E94" s="3"/>
      <c r="I94" s="3"/>
      <c r="N94" s="3"/>
      <c r="S94" s="3"/>
      <c r="X94" s="3"/>
      <c r="AC94" s="3"/>
      <c r="AH94" s="3"/>
      <c r="AM94" s="3"/>
      <c r="AR94" s="3"/>
      <c r="AW94" s="3"/>
      <c r="BB94" s="3"/>
      <c r="BG94" s="3"/>
      <c r="BM94" s="3"/>
      <c r="BV94" s="3"/>
      <c r="BX94" s="4"/>
      <c r="BY94" s="4"/>
      <c r="BZ94" s="4"/>
      <c r="CA94" s="4"/>
      <c r="CB94" s="4"/>
      <c r="CC94" s="4"/>
      <c r="CD94" s="4"/>
    </row>
    <row r="95" spans="5:82" ht="15.75" customHeight="1" x14ac:dyDescent="0.3">
      <c r="E95" s="3"/>
      <c r="I95" s="3"/>
      <c r="N95" s="3"/>
      <c r="S95" s="3"/>
      <c r="X95" s="3"/>
      <c r="AC95" s="3"/>
      <c r="AH95" s="3"/>
      <c r="AM95" s="3"/>
      <c r="AR95" s="3"/>
      <c r="AW95" s="3"/>
      <c r="BB95" s="3"/>
      <c r="BG95" s="3"/>
      <c r="BM95" s="3"/>
      <c r="BV95" s="3"/>
      <c r="BX95" s="4"/>
      <c r="BY95" s="4"/>
      <c r="BZ95" s="4"/>
      <c r="CA95" s="4"/>
      <c r="CB95" s="4"/>
      <c r="CC95" s="4"/>
      <c r="CD95" s="4"/>
    </row>
    <row r="96" spans="5:82" ht="15.75" customHeight="1" x14ac:dyDescent="0.3">
      <c r="E96" s="3"/>
      <c r="I96" s="3"/>
      <c r="N96" s="3"/>
      <c r="S96" s="3"/>
      <c r="X96" s="3"/>
      <c r="AC96" s="3"/>
      <c r="AH96" s="3"/>
      <c r="AM96" s="3"/>
      <c r="AR96" s="3"/>
      <c r="AW96" s="3"/>
      <c r="BB96" s="3"/>
      <c r="BG96" s="3"/>
      <c r="BM96" s="3"/>
      <c r="BV96" s="3"/>
      <c r="BX96" s="4"/>
      <c r="BY96" s="4"/>
      <c r="BZ96" s="4"/>
      <c r="CA96" s="4"/>
      <c r="CB96" s="4"/>
      <c r="CC96" s="4"/>
      <c r="CD96" s="4"/>
    </row>
    <row r="97" spans="5:82" ht="15.75" customHeight="1" x14ac:dyDescent="0.3">
      <c r="E97" s="3"/>
      <c r="I97" s="3"/>
      <c r="N97" s="3"/>
      <c r="S97" s="3"/>
      <c r="X97" s="3"/>
      <c r="AC97" s="3"/>
      <c r="AH97" s="3"/>
      <c r="AM97" s="3"/>
      <c r="AR97" s="3"/>
      <c r="AW97" s="3"/>
      <c r="BB97" s="3"/>
      <c r="BG97" s="3"/>
      <c r="BM97" s="3"/>
      <c r="BV97" s="3"/>
      <c r="BX97" s="4"/>
      <c r="BY97" s="4"/>
      <c r="BZ97" s="4"/>
      <c r="CA97" s="4"/>
      <c r="CB97" s="4"/>
      <c r="CC97" s="4"/>
      <c r="CD97" s="4"/>
    </row>
    <row r="98" spans="5:82" ht="15.75" customHeight="1" x14ac:dyDescent="0.3">
      <c r="E98" s="3"/>
      <c r="I98" s="3"/>
      <c r="N98" s="3"/>
      <c r="S98" s="3"/>
      <c r="X98" s="3"/>
      <c r="AC98" s="3"/>
      <c r="AH98" s="3"/>
      <c r="AM98" s="3"/>
      <c r="AR98" s="3"/>
      <c r="AW98" s="3"/>
      <c r="BB98" s="3"/>
      <c r="BG98" s="3"/>
      <c r="BM98" s="3"/>
      <c r="BV98" s="3"/>
      <c r="BX98" s="4"/>
      <c r="BY98" s="4"/>
      <c r="BZ98" s="4"/>
      <c r="CA98" s="4"/>
      <c r="CB98" s="4"/>
      <c r="CC98" s="4"/>
      <c r="CD98" s="4"/>
    </row>
    <row r="99" spans="5:82" ht="15.75" customHeight="1" x14ac:dyDescent="0.3">
      <c r="E99" s="3"/>
      <c r="I99" s="3"/>
      <c r="N99" s="3"/>
      <c r="S99" s="3"/>
      <c r="X99" s="3"/>
      <c r="AC99" s="3"/>
      <c r="AH99" s="3"/>
      <c r="AM99" s="3"/>
      <c r="AR99" s="3"/>
      <c r="AW99" s="3"/>
      <c r="BB99" s="3"/>
      <c r="BG99" s="3"/>
      <c r="BM99" s="3"/>
      <c r="BV99" s="3"/>
      <c r="BX99" s="4"/>
      <c r="BY99" s="4"/>
      <c r="BZ99" s="4"/>
      <c r="CA99" s="4"/>
      <c r="CB99" s="4"/>
      <c r="CC99" s="4"/>
      <c r="CD99" s="4"/>
    </row>
    <row r="100" spans="5:82" ht="15.75" customHeight="1" x14ac:dyDescent="0.3">
      <c r="E100" s="3"/>
      <c r="I100" s="3"/>
      <c r="N100" s="3"/>
      <c r="S100" s="3"/>
      <c r="X100" s="3"/>
      <c r="AC100" s="3"/>
      <c r="AH100" s="3"/>
      <c r="AM100" s="3"/>
      <c r="AR100" s="3"/>
      <c r="AW100" s="3"/>
      <c r="BB100" s="3"/>
      <c r="BG100" s="3"/>
      <c r="BM100" s="3"/>
      <c r="BV100" s="3"/>
      <c r="BX100" s="4"/>
      <c r="BY100" s="4"/>
      <c r="BZ100" s="4"/>
      <c r="CA100" s="4"/>
      <c r="CB100" s="4"/>
      <c r="CC100" s="4"/>
      <c r="CD100" s="4"/>
    </row>
  </sheetData>
  <mergeCells count="13">
    <mergeCell ref="E3:H3"/>
    <mergeCell ref="J3:M3"/>
    <mergeCell ref="O3:R3"/>
    <mergeCell ref="T3:W3"/>
    <mergeCell ref="Y3:AB3"/>
    <mergeCell ref="AD3:AG3"/>
    <mergeCell ref="BO2:BQ2"/>
    <mergeCell ref="AI3:AL3"/>
    <mergeCell ref="AN3:AQ3"/>
    <mergeCell ref="AS3:AV3"/>
    <mergeCell ref="AX3:BA3"/>
    <mergeCell ref="BC3:BF3"/>
    <mergeCell ref="BH3:BK3"/>
  </mergeCell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100"/>
  <sheetViews>
    <sheetView zoomScale="68" zoomScaleNormal="85" workbookViewId="0">
      <pane xSplit="2" ySplit="6" topLeftCell="C40" activePane="bottomRight" state="frozen"/>
      <selection pane="topRight" activeCell="C1" sqref="C1"/>
      <selection pane="bottomLeft" activeCell="A7" sqref="A7"/>
      <selection pane="bottomRight" activeCell="H7" sqref="H7"/>
    </sheetView>
  </sheetViews>
  <sheetFormatPr defaultColWidth="12.6640625" defaultRowHeight="15" customHeight="1" x14ac:dyDescent="0.3"/>
  <cols>
    <col min="1" max="1" width="11" customWidth="1"/>
    <col min="2" max="2" width="8.77734375" customWidth="1"/>
    <col min="3" max="3" width="8.88671875" customWidth="1"/>
    <col min="4" max="4" width="6.33203125" customWidth="1"/>
    <col min="5" max="5" width="6" customWidth="1"/>
    <col min="6" max="6" width="7.21875" customWidth="1"/>
    <col min="7" max="7" width="10" customWidth="1"/>
    <col min="8" max="8" width="11.44140625" customWidth="1"/>
    <col min="9" max="10" width="9.88671875" customWidth="1"/>
    <col min="11" max="11" width="6.88671875" customWidth="1"/>
    <col min="12" max="12" width="10.109375" customWidth="1"/>
    <col min="13" max="13" width="9" customWidth="1"/>
    <col min="14" max="14" width="11.109375" customWidth="1"/>
    <col min="15" max="15" width="10" customWidth="1"/>
    <col min="16" max="16" width="8.21875" customWidth="1"/>
    <col min="17" max="17" width="16.33203125" customWidth="1"/>
    <col min="18" max="18" width="11.44140625" customWidth="1"/>
    <col min="19" max="19" width="13.6640625" customWidth="1"/>
    <col min="20" max="22" width="11" customWidth="1"/>
  </cols>
  <sheetData>
    <row r="1" spans="1:22" ht="15" customHeight="1" x14ac:dyDescent="0.3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135"/>
      <c r="V1" s="135"/>
    </row>
    <row r="2" spans="1:22" ht="14.4" x14ac:dyDescent="0.3">
      <c r="A2" s="3"/>
      <c r="B2" s="3"/>
      <c r="C2" s="8" t="s">
        <v>78</v>
      </c>
      <c r="D2" s="78" t="s">
        <v>79</v>
      </c>
      <c r="E2" s="28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46" t="s">
        <v>80</v>
      </c>
      <c r="R2" s="347"/>
      <c r="S2" s="3"/>
      <c r="T2" s="28"/>
      <c r="U2" s="135"/>
      <c r="V2" s="135"/>
    </row>
    <row r="3" spans="1:22" ht="14.4" x14ac:dyDescent="0.3">
      <c r="A3" s="3"/>
      <c r="B3" s="3"/>
      <c r="C3" s="8" t="s">
        <v>19</v>
      </c>
      <c r="D3" s="108">
        <f>+'PROY GPO ESCOBEDO'!T3</f>
        <v>122.1</v>
      </c>
      <c r="E3" s="136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 t="s">
        <v>81</v>
      </c>
      <c r="R3" s="28">
        <v>22</v>
      </c>
      <c r="S3" s="3" t="s">
        <v>82</v>
      </c>
      <c r="T3" s="3"/>
      <c r="U3" s="135"/>
      <c r="V3" s="135"/>
    </row>
    <row r="4" spans="1:22" ht="14.4" x14ac:dyDescent="0.3">
      <c r="A4" s="3"/>
      <c r="B4" s="3"/>
      <c r="C4" s="3"/>
      <c r="D4" s="3"/>
      <c r="E4" s="28"/>
      <c r="F4" s="3"/>
      <c r="G4" s="3"/>
      <c r="H4" s="3"/>
      <c r="I4" s="354" t="s">
        <v>83</v>
      </c>
      <c r="J4" s="349"/>
      <c r="K4" s="349"/>
      <c r="L4" s="138"/>
      <c r="M4" s="3"/>
      <c r="N4" s="3"/>
      <c r="O4" s="3"/>
      <c r="P4" s="3"/>
      <c r="Q4" s="3" t="s">
        <v>84</v>
      </c>
      <c r="R4" s="28">
        <v>1.3</v>
      </c>
      <c r="S4" s="3" t="s">
        <v>85</v>
      </c>
      <c r="T4" s="3"/>
      <c r="U4" s="139">
        <f>+R4*3600</f>
        <v>4680</v>
      </c>
      <c r="V4" s="135" t="s">
        <v>86</v>
      </c>
    </row>
    <row r="5" spans="1:22" ht="15.6" x14ac:dyDescent="0.3">
      <c r="A5" s="3"/>
      <c r="B5" s="3"/>
      <c r="C5" s="140"/>
      <c r="D5" s="141"/>
      <c r="E5" s="142"/>
      <c r="F5" s="141"/>
      <c r="G5" s="142" t="s">
        <v>87</v>
      </c>
      <c r="H5" s="141"/>
      <c r="I5" s="143" t="s">
        <v>88</v>
      </c>
      <c r="J5" s="144" t="s">
        <v>89</v>
      </c>
      <c r="K5" s="354" t="s">
        <v>90</v>
      </c>
      <c r="L5" s="350"/>
      <c r="M5" s="354" t="s">
        <v>91</v>
      </c>
      <c r="N5" s="350"/>
      <c r="O5" s="3"/>
      <c r="P5" s="3"/>
      <c r="Q5" s="12" t="s">
        <v>92</v>
      </c>
      <c r="R5" s="145">
        <f>+(R3*R15)/(R4*3600)</f>
        <v>0.10999999999999999</v>
      </c>
      <c r="S5" s="13" t="s">
        <v>93</v>
      </c>
      <c r="T5" s="3"/>
      <c r="U5" s="139">
        <f>+R3*R15</f>
        <v>514.79999999999995</v>
      </c>
      <c r="V5" s="135" t="s">
        <v>94</v>
      </c>
    </row>
    <row r="6" spans="1:22" ht="14.4" x14ac:dyDescent="0.3">
      <c r="A6" s="3"/>
      <c r="B6" s="3"/>
      <c r="C6" s="143" t="s">
        <v>95</v>
      </c>
      <c r="D6" s="141" t="s">
        <v>96</v>
      </c>
      <c r="E6" s="142" t="s">
        <v>97</v>
      </c>
      <c r="F6" s="141" t="s">
        <v>98</v>
      </c>
      <c r="G6" s="146" t="s">
        <v>67</v>
      </c>
      <c r="H6" s="146" t="s">
        <v>99</v>
      </c>
      <c r="I6" s="143" t="s">
        <v>100</v>
      </c>
      <c r="J6" s="144" t="s">
        <v>101</v>
      </c>
      <c r="K6" s="143" t="s">
        <v>67</v>
      </c>
      <c r="L6" s="147" t="s">
        <v>102</v>
      </c>
      <c r="M6" s="148" t="s">
        <v>103</v>
      </c>
      <c r="N6" s="149" t="s">
        <v>104</v>
      </c>
      <c r="O6" s="3"/>
      <c r="P6" s="3"/>
      <c r="Q6" s="3" t="s">
        <v>105</v>
      </c>
      <c r="R6" s="28">
        <f>+D3*10000*R7</f>
        <v>1159950</v>
      </c>
      <c r="S6" s="3" t="s">
        <v>89</v>
      </c>
      <c r="T6" s="3"/>
      <c r="U6" s="139">
        <f>+U5/U4</f>
        <v>0.10999999999999999</v>
      </c>
      <c r="V6" s="135" t="s">
        <v>106</v>
      </c>
    </row>
    <row r="7" spans="1:22" ht="14.4" x14ac:dyDescent="0.3">
      <c r="A7" s="3"/>
      <c r="B7" s="150"/>
      <c r="C7" s="151"/>
      <c r="D7" s="152"/>
      <c r="E7" s="153"/>
      <c r="F7" s="49"/>
      <c r="G7" s="154"/>
      <c r="H7" s="154"/>
      <c r="I7" s="155"/>
      <c r="J7" s="156"/>
      <c r="K7" s="157"/>
      <c r="L7" s="158"/>
      <c r="M7" s="159"/>
      <c r="N7" s="160"/>
      <c r="O7" s="28"/>
      <c r="P7" s="3"/>
      <c r="Q7" s="161" t="s">
        <v>107</v>
      </c>
      <c r="R7" s="28">
        <v>0.95</v>
      </c>
      <c r="S7" s="3" t="s">
        <v>108</v>
      </c>
      <c r="T7" s="3"/>
      <c r="U7" s="139"/>
      <c r="V7" s="135"/>
    </row>
    <row r="8" spans="1:22" ht="14.4" x14ac:dyDescent="0.3">
      <c r="A8" s="3"/>
      <c r="B8" s="150"/>
      <c r="C8" s="162"/>
      <c r="D8" s="163"/>
      <c r="E8" s="164"/>
      <c r="F8" s="63"/>
      <c r="G8" s="165"/>
      <c r="H8" s="165"/>
      <c r="I8" s="166"/>
      <c r="J8" s="167"/>
      <c r="K8" s="168"/>
      <c r="L8" s="169"/>
      <c r="M8" s="170"/>
      <c r="N8" s="171"/>
      <c r="O8" s="3"/>
      <c r="P8" s="3"/>
      <c r="Q8" s="3" t="s">
        <v>109</v>
      </c>
      <c r="R8" s="28">
        <v>16</v>
      </c>
      <c r="S8" s="3" t="s">
        <v>110</v>
      </c>
      <c r="T8" s="3"/>
      <c r="U8" s="135"/>
      <c r="V8" s="135"/>
    </row>
    <row r="9" spans="1:22" ht="14.4" x14ac:dyDescent="0.3">
      <c r="A9" s="3"/>
      <c r="B9" s="150"/>
      <c r="C9" s="162"/>
      <c r="D9" s="163"/>
      <c r="E9" s="164"/>
      <c r="F9" s="63"/>
      <c r="G9" s="165"/>
      <c r="H9" s="165"/>
      <c r="I9" s="172"/>
      <c r="J9" s="167"/>
      <c r="K9" s="168"/>
      <c r="L9" s="169"/>
      <c r="M9" s="170"/>
      <c r="N9" s="171"/>
      <c r="O9" s="3"/>
      <c r="P9" s="3"/>
      <c r="Q9" s="3" t="s">
        <v>111</v>
      </c>
      <c r="R9" s="28">
        <f>(+R6*R10)/(R4*3600)</f>
        <v>247.85256410256412</v>
      </c>
      <c r="S9" s="3"/>
      <c r="T9" s="3"/>
      <c r="U9" s="135"/>
      <c r="V9" s="135"/>
    </row>
    <row r="10" spans="1:22" ht="14.4" x14ac:dyDescent="0.3">
      <c r="A10" s="3"/>
      <c r="B10" s="150"/>
      <c r="C10" s="162"/>
      <c r="D10" s="163"/>
      <c r="E10" s="164"/>
      <c r="F10" s="63"/>
      <c r="G10" s="165"/>
      <c r="H10" s="165"/>
      <c r="I10" s="166"/>
      <c r="J10" s="167"/>
      <c r="K10" s="168"/>
      <c r="L10" s="169"/>
      <c r="M10" s="170"/>
      <c r="N10" s="171"/>
      <c r="O10" s="3"/>
      <c r="P10" s="3"/>
      <c r="Q10" s="3" t="s">
        <v>112</v>
      </c>
      <c r="R10" s="173">
        <v>1</v>
      </c>
      <c r="S10" s="3"/>
      <c r="T10" s="3"/>
      <c r="U10" s="135"/>
      <c r="V10" s="135"/>
    </row>
    <row r="11" spans="1:22" ht="14.4" x14ac:dyDescent="0.3">
      <c r="A11" s="3"/>
      <c r="B11" s="3"/>
      <c r="C11" s="162"/>
      <c r="D11" s="163"/>
      <c r="E11" s="164"/>
      <c r="F11" s="63"/>
      <c r="G11" s="165"/>
      <c r="H11" s="165"/>
      <c r="I11" s="172"/>
      <c r="J11" s="167"/>
      <c r="K11" s="168"/>
      <c r="L11" s="169"/>
      <c r="M11" s="170"/>
      <c r="N11" s="171"/>
      <c r="O11" s="3"/>
      <c r="P11" s="3"/>
      <c r="Q11" s="3" t="s">
        <v>113</v>
      </c>
      <c r="R11" s="28">
        <v>4</v>
      </c>
      <c r="S11" s="3"/>
      <c r="T11" s="3"/>
      <c r="U11" s="135"/>
      <c r="V11" s="135"/>
    </row>
    <row r="12" spans="1:22" ht="14.4" x14ac:dyDescent="0.3">
      <c r="A12" s="3"/>
      <c r="B12" s="3"/>
      <c r="C12" s="162"/>
      <c r="D12" s="163"/>
      <c r="E12" s="164"/>
      <c r="F12" s="63"/>
      <c r="G12" s="165"/>
      <c r="H12" s="165"/>
      <c r="I12" s="166"/>
      <c r="J12" s="167"/>
      <c r="K12" s="168"/>
      <c r="L12" s="169"/>
      <c r="M12" s="170"/>
      <c r="N12" s="171"/>
      <c r="O12" s="3"/>
      <c r="P12" s="3"/>
      <c r="Q12" s="3" t="s">
        <v>114</v>
      </c>
      <c r="R12" s="28">
        <f>+R9/R11</f>
        <v>61.963141025641029</v>
      </c>
      <c r="S12" s="3"/>
      <c r="T12" s="3"/>
      <c r="U12" s="135"/>
      <c r="V12" s="135"/>
    </row>
    <row r="13" spans="1:22" ht="14.4" x14ac:dyDescent="0.3">
      <c r="A13" s="3"/>
      <c r="B13" s="3"/>
      <c r="C13" s="162"/>
      <c r="D13" s="163"/>
      <c r="E13" s="164"/>
      <c r="F13" s="63"/>
      <c r="G13" s="165"/>
      <c r="H13" s="165"/>
      <c r="I13" s="172"/>
      <c r="J13" s="167"/>
      <c r="K13" s="168"/>
      <c r="L13" s="169"/>
      <c r="M13" s="170"/>
      <c r="N13" s="171"/>
      <c r="O13" s="3"/>
      <c r="P13" s="3"/>
      <c r="Q13" s="3" t="s">
        <v>115</v>
      </c>
      <c r="R13" s="28">
        <f>+R12/R8</f>
        <v>3.8726963141025643</v>
      </c>
      <c r="S13" s="3"/>
      <c r="T13" s="3"/>
      <c r="U13" s="135"/>
      <c r="V13" s="135"/>
    </row>
    <row r="14" spans="1:22" ht="14.4" x14ac:dyDescent="0.3">
      <c r="A14" s="3"/>
      <c r="B14" s="150"/>
      <c r="C14" s="162"/>
      <c r="D14" s="163"/>
      <c r="E14" s="164"/>
      <c r="F14" s="63"/>
      <c r="G14" s="165"/>
      <c r="H14" s="165"/>
      <c r="I14" s="166"/>
      <c r="J14" s="167"/>
      <c r="K14" s="168"/>
      <c r="L14" s="169"/>
      <c r="M14" s="170"/>
      <c r="N14" s="171"/>
      <c r="O14" s="3"/>
      <c r="P14" s="3"/>
      <c r="Q14" s="3" t="s">
        <v>116</v>
      </c>
      <c r="R14" s="28">
        <f>+D3/R13</f>
        <v>31.528421052631575</v>
      </c>
      <c r="S14" s="3"/>
      <c r="T14" s="3"/>
      <c r="U14" s="135"/>
      <c r="V14" s="135"/>
    </row>
    <row r="15" spans="1:22" ht="14.4" x14ac:dyDescent="0.3">
      <c r="A15" s="3"/>
      <c r="B15" s="3"/>
      <c r="C15" s="162"/>
      <c r="D15" s="163"/>
      <c r="E15" s="164"/>
      <c r="F15" s="63"/>
      <c r="G15" s="165"/>
      <c r="H15" s="165"/>
      <c r="I15" s="166"/>
      <c r="J15" s="167"/>
      <c r="K15" s="168"/>
      <c r="L15" s="169"/>
      <c r="M15" s="170"/>
      <c r="N15" s="171"/>
      <c r="O15" s="3"/>
      <c r="P15" s="3"/>
      <c r="Q15" s="3" t="s">
        <v>117</v>
      </c>
      <c r="R15" s="174">
        <v>23.4</v>
      </c>
      <c r="S15" s="3" t="s">
        <v>118</v>
      </c>
      <c r="T15" s="3"/>
      <c r="U15" s="135"/>
      <c r="V15" s="135"/>
    </row>
    <row r="16" spans="1:22" ht="14.4" x14ac:dyDescent="0.3">
      <c r="A16" s="3"/>
      <c r="B16" s="3"/>
      <c r="C16" s="162"/>
      <c r="D16" s="163"/>
      <c r="E16" s="164"/>
      <c r="F16" s="63"/>
      <c r="G16" s="165"/>
      <c r="H16" s="165"/>
      <c r="I16" s="166"/>
      <c r="J16" s="167"/>
      <c r="K16" s="168"/>
      <c r="L16" s="169"/>
      <c r="M16" s="170"/>
      <c r="N16" s="171"/>
      <c r="O16" s="3"/>
      <c r="P16" s="3"/>
      <c r="Q16" s="3"/>
      <c r="R16" s="174"/>
      <c r="S16" s="3"/>
      <c r="T16" s="3"/>
      <c r="U16" s="135"/>
      <c r="V16" s="135"/>
    </row>
    <row r="17" spans="1:22" ht="14.4" x14ac:dyDescent="0.3">
      <c r="A17" s="3"/>
      <c r="B17" s="3"/>
      <c r="C17" s="162"/>
      <c r="D17" s="163"/>
      <c r="E17" s="164"/>
      <c r="F17" s="63"/>
      <c r="G17" s="165"/>
      <c r="H17" s="165"/>
      <c r="I17" s="166"/>
      <c r="J17" s="167"/>
      <c r="K17" s="168"/>
      <c r="L17" s="169"/>
      <c r="M17" s="170"/>
      <c r="N17" s="171"/>
      <c r="O17" s="3"/>
      <c r="P17" s="3"/>
      <c r="Q17" s="3" t="s">
        <v>51</v>
      </c>
      <c r="R17" s="2"/>
      <c r="S17" s="175"/>
      <c r="T17" s="3"/>
      <c r="U17" s="135"/>
      <c r="V17" s="139"/>
    </row>
    <row r="18" spans="1:22" ht="14.4" x14ac:dyDescent="0.3">
      <c r="A18" s="3"/>
      <c r="B18" s="3"/>
      <c r="C18" s="162"/>
      <c r="D18" s="163"/>
      <c r="E18" s="164"/>
      <c r="F18" s="63"/>
      <c r="G18" s="165"/>
      <c r="H18" s="165"/>
      <c r="I18" s="166"/>
      <c r="J18" s="167"/>
      <c r="K18" s="168"/>
      <c r="L18" s="169"/>
      <c r="M18" s="170"/>
      <c r="N18" s="171"/>
      <c r="O18" s="3"/>
      <c r="P18" s="3"/>
      <c r="Q18" s="3" t="s">
        <v>119</v>
      </c>
      <c r="R18" s="176">
        <f>+R19/R3</f>
        <v>0</v>
      </c>
      <c r="S18" s="175"/>
      <c r="T18" s="3"/>
      <c r="U18" s="135"/>
      <c r="V18" s="135"/>
    </row>
    <row r="19" spans="1:22" ht="14.4" x14ac:dyDescent="0.3">
      <c r="A19" s="3"/>
      <c r="B19" s="3"/>
      <c r="C19" s="162"/>
      <c r="D19" s="177"/>
      <c r="E19" s="164"/>
      <c r="F19" s="63"/>
      <c r="G19" s="165"/>
      <c r="H19" s="165"/>
      <c r="I19" s="166"/>
      <c r="J19" s="167"/>
      <c r="K19" s="168"/>
      <c r="L19" s="169"/>
      <c r="M19" s="170"/>
      <c r="N19" s="171"/>
      <c r="O19" s="3"/>
      <c r="P19" s="3"/>
      <c r="Q19" s="3" t="s">
        <v>120</v>
      </c>
      <c r="R19" s="176">
        <f>+N22</f>
        <v>0</v>
      </c>
      <c r="S19" s="175"/>
      <c r="T19" s="3"/>
      <c r="U19" s="135"/>
      <c r="V19" s="135"/>
    </row>
    <row r="20" spans="1:22" ht="14.4" x14ac:dyDescent="0.3">
      <c r="A20" s="3"/>
      <c r="B20" s="3"/>
      <c r="C20" s="162"/>
      <c r="D20" s="177"/>
      <c r="E20" s="164"/>
      <c r="F20" s="63"/>
      <c r="G20" s="165"/>
      <c r="H20" s="165"/>
      <c r="I20" s="166"/>
      <c r="J20" s="167"/>
      <c r="K20" s="168"/>
      <c r="L20" s="169"/>
      <c r="M20" s="170"/>
      <c r="N20" s="171"/>
      <c r="O20" s="3"/>
      <c r="P20" s="3"/>
      <c r="Q20" s="3" t="s">
        <v>121</v>
      </c>
      <c r="R20" s="176">
        <f>+R19*R15</f>
        <v>0</v>
      </c>
      <c r="S20" s="175"/>
      <c r="T20" s="3"/>
      <c r="U20" s="135"/>
      <c r="V20" s="135"/>
    </row>
    <row r="21" spans="1:22" ht="15.75" customHeight="1" x14ac:dyDescent="0.3">
      <c r="A21" s="3"/>
      <c r="B21" s="3"/>
      <c r="C21" s="162"/>
      <c r="D21" s="177"/>
      <c r="E21" s="164"/>
      <c r="F21" s="63"/>
      <c r="G21" s="165"/>
      <c r="H21" s="165"/>
      <c r="I21" s="166"/>
      <c r="J21" s="167"/>
      <c r="K21" s="168"/>
      <c r="L21" s="169"/>
      <c r="M21" s="170"/>
      <c r="N21" s="171"/>
      <c r="O21" s="3"/>
      <c r="P21" s="3"/>
      <c r="Q21" s="3"/>
      <c r="R21" s="3"/>
      <c r="S21" s="175"/>
      <c r="T21" s="3"/>
      <c r="U21" s="135"/>
      <c r="V21" s="135"/>
    </row>
    <row r="22" spans="1:22" ht="15.75" customHeight="1" x14ac:dyDescent="0.3">
      <c r="A22" s="3"/>
      <c r="B22" s="3"/>
      <c r="C22" s="178"/>
      <c r="D22" s="179"/>
      <c r="E22" s="180"/>
      <c r="F22" s="75"/>
      <c r="G22" s="181"/>
      <c r="H22" s="181"/>
      <c r="I22" s="182"/>
      <c r="J22" s="183"/>
      <c r="K22" s="184"/>
      <c r="L22" s="185"/>
      <c r="M22" s="186"/>
      <c r="N22" s="187"/>
      <c r="O22" s="3"/>
      <c r="P22" s="3"/>
      <c r="Q22" s="3" t="s">
        <v>64</v>
      </c>
      <c r="R22" s="2"/>
      <c r="S22" s="3"/>
      <c r="T22" s="3"/>
      <c r="U22" s="135"/>
      <c r="V22" s="135"/>
    </row>
    <row r="23" spans="1:22" ht="15.75" customHeight="1" x14ac:dyDescent="0.3">
      <c r="A23" s="3"/>
      <c r="B23" s="3"/>
      <c r="C23" s="3"/>
      <c r="D23" s="3"/>
      <c r="E23" s="28"/>
      <c r="F23" s="3"/>
      <c r="G23" s="3"/>
      <c r="H23" s="3"/>
      <c r="I23" s="3"/>
      <c r="J23" s="3"/>
      <c r="K23" s="3"/>
      <c r="L23" s="3"/>
      <c r="M23" s="3"/>
      <c r="N23" s="188"/>
      <c r="O23" s="3"/>
      <c r="P23" s="3"/>
      <c r="Q23" s="3" t="s">
        <v>119</v>
      </c>
      <c r="R23" s="176">
        <f>+R24/R3</f>
        <v>2780.9057692307692</v>
      </c>
      <c r="S23" s="3"/>
      <c r="T23" s="3"/>
      <c r="U23" s="135"/>
      <c r="V23" s="135"/>
    </row>
    <row r="24" spans="1:22" ht="15.75" customHeight="1" x14ac:dyDescent="0.3">
      <c r="A24" s="3"/>
      <c r="B24" s="3"/>
      <c r="C24" s="354" t="s">
        <v>64</v>
      </c>
      <c r="D24" s="349"/>
      <c r="E24" s="349"/>
      <c r="F24" s="349"/>
      <c r="G24" s="349"/>
      <c r="H24" s="350"/>
      <c r="I24" s="354" t="s">
        <v>83</v>
      </c>
      <c r="J24" s="349"/>
      <c r="K24" s="349"/>
      <c r="L24" s="138"/>
      <c r="M24" s="3"/>
      <c r="N24" s="3"/>
      <c r="O24" s="3"/>
      <c r="P24" s="3"/>
      <c r="Q24" s="3" t="s">
        <v>120</v>
      </c>
      <c r="R24" s="176">
        <f>+N41</f>
        <v>61179.926923076921</v>
      </c>
      <c r="S24" s="3"/>
      <c r="T24" s="3"/>
      <c r="U24" s="135"/>
      <c r="V24" s="135"/>
    </row>
    <row r="25" spans="1:22" ht="15.75" customHeight="1" x14ac:dyDescent="0.3">
      <c r="A25" s="3"/>
      <c r="B25" s="3"/>
      <c r="C25" s="140"/>
      <c r="D25" s="141"/>
      <c r="E25" s="142"/>
      <c r="F25" s="141"/>
      <c r="G25" s="142" t="s">
        <v>87</v>
      </c>
      <c r="H25" s="189"/>
      <c r="I25" s="143" t="s">
        <v>88</v>
      </c>
      <c r="J25" s="144" t="s">
        <v>89</v>
      </c>
      <c r="K25" s="354" t="s">
        <v>122</v>
      </c>
      <c r="L25" s="350"/>
      <c r="M25" s="354" t="s">
        <v>91</v>
      </c>
      <c r="N25" s="350"/>
      <c r="O25" s="3"/>
      <c r="P25" s="3"/>
      <c r="Q25" s="3" t="s">
        <v>121</v>
      </c>
      <c r="R25" s="176">
        <f>+R24*R15</f>
        <v>1431610.2899999998</v>
      </c>
      <c r="S25" s="3"/>
      <c r="T25" s="3"/>
      <c r="U25" s="135"/>
      <c r="V25" s="135"/>
    </row>
    <row r="26" spans="1:22" ht="15.75" customHeight="1" x14ac:dyDescent="0.3">
      <c r="A26" s="3"/>
      <c r="B26" s="3"/>
      <c r="C26" s="143" t="s">
        <v>95</v>
      </c>
      <c r="D26" s="141" t="s">
        <v>96</v>
      </c>
      <c r="E26" s="142" t="s">
        <v>97</v>
      </c>
      <c r="F26" s="141" t="s">
        <v>98</v>
      </c>
      <c r="G26" s="146" t="s">
        <v>67</v>
      </c>
      <c r="H26" s="146" t="s">
        <v>99</v>
      </c>
      <c r="I26" s="143" t="s">
        <v>100</v>
      </c>
      <c r="J26" s="144" t="s">
        <v>101</v>
      </c>
      <c r="K26" s="143" t="s">
        <v>67</v>
      </c>
      <c r="L26" s="147" t="s">
        <v>102</v>
      </c>
      <c r="M26" s="148" t="s">
        <v>103</v>
      </c>
      <c r="N26" s="149" t="s">
        <v>104</v>
      </c>
      <c r="O26" s="3"/>
      <c r="P26" s="3"/>
      <c r="Q26" s="3"/>
      <c r="R26" s="3"/>
      <c r="S26" s="3"/>
      <c r="T26" s="3"/>
      <c r="U26" s="135"/>
      <c r="V26" s="135"/>
    </row>
    <row r="27" spans="1:22" ht="15.75" customHeight="1" x14ac:dyDescent="0.3">
      <c r="A27" s="3"/>
      <c r="B27" s="3"/>
      <c r="C27" s="151">
        <v>45884</v>
      </c>
      <c r="D27" s="152">
        <v>0</v>
      </c>
      <c r="E27" s="153">
        <v>1.4999999999999999E-2</v>
      </c>
      <c r="F27" s="49">
        <v>17.82</v>
      </c>
      <c r="G27" s="154">
        <f t="shared" ref="G27:G41" si="0">+F27*E27*10*D$3</f>
        <v>326.37329999999997</v>
      </c>
      <c r="H27" s="154">
        <f t="shared" ref="H27:H41" si="1">+G27/D$3</f>
        <v>2.673</v>
      </c>
      <c r="I27" s="155">
        <v>20</v>
      </c>
      <c r="J27" s="156">
        <f t="shared" ref="J27:J41" si="2">+R$6*I27/100</f>
        <v>231990</v>
      </c>
      <c r="K27" s="157">
        <f t="shared" ref="K27:K41" si="3">+J27/(R$4*3600)</f>
        <v>49.570512820512818</v>
      </c>
      <c r="L27" s="158">
        <f t="shared" ref="L27:L41" si="4">+K27/R$11</f>
        <v>12.392628205128204</v>
      </c>
      <c r="M27" s="159">
        <f>+K27*R$3*5</f>
        <v>5452.7564102564102</v>
      </c>
      <c r="N27" s="160">
        <f>+M27</f>
        <v>5452.7564102564102</v>
      </c>
      <c r="O27" s="3"/>
      <c r="P27" s="3"/>
      <c r="Q27" s="355" t="s">
        <v>123</v>
      </c>
      <c r="R27" s="350"/>
      <c r="S27" s="3"/>
      <c r="T27" s="3"/>
      <c r="U27" s="135"/>
      <c r="V27" s="135"/>
    </row>
    <row r="28" spans="1:22" ht="15.75" customHeight="1" x14ac:dyDescent="0.3">
      <c r="A28" s="3"/>
      <c r="B28" s="3"/>
      <c r="C28" s="162">
        <f t="shared" ref="C28:C41" si="5">+C27+7</f>
        <v>45891</v>
      </c>
      <c r="D28" s="163">
        <v>7</v>
      </c>
      <c r="E28" s="164">
        <v>0.6</v>
      </c>
      <c r="F28" s="63">
        <v>17.423999999999999</v>
      </c>
      <c r="G28" s="165">
        <f t="shared" si="0"/>
        <v>12764.822399999999</v>
      </c>
      <c r="H28" s="165">
        <f t="shared" si="1"/>
        <v>104.544</v>
      </c>
      <c r="I28" s="166">
        <v>3</v>
      </c>
      <c r="J28" s="167">
        <f t="shared" si="2"/>
        <v>34798.5</v>
      </c>
      <c r="K28" s="168">
        <f t="shared" si="3"/>
        <v>7.4355769230769226</v>
      </c>
      <c r="L28" s="169">
        <f t="shared" si="4"/>
        <v>1.8588942307692307</v>
      </c>
      <c r="M28" s="170">
        <f t="shared" ref="M28:M41" si="6">+K28*R$3*7</f>
        <v>1145.0788461538461</v>
      </c>
      <c r="N28" s="171">
        <f t="shared" ref="N28:N41" si="7">+N27+M28</f>
        <v>6597.8352564102561</v>
      </c>
      <c r="O28" s="3"/>
      <c r="P28" s="3"/>
      <c r="Q28" s="191" t="s">
        <v>124</v>
      </c>
      <c r="R28" s="192">
        <f t="shared" ref="R28:R29" si="8">+R24+R19</f>
        <v>61179.926923076921</v>
      </c>
      <c r="S28" s="3"/>
      <c r="T28" s="3"/>
      <c r="U28" s="135"/>
      <c r="V28" s="135"/>
    </row>
    <row r="29" spans="1:22" ht="15.75" customHeight="1" x14ac:dyDescent="0.3">
      <c r="A29" s="3"/>
      <c r="B29" s="3"/>
      <c r="C29" s="162">
        <f t="shared" si="5"/>
        <v>45898</v>
      </c>
      <c r="D29" s="163">
        <v>14</v>
      </c>
      <c r="E29" s="164">
        <v>1</v>
      </c>
      <c r="F29" s="63">
        <v>15.84</v>
      </c>
      <c r="G29" s="165">
        <f t="shared" si="0"/>
        <v>19340.64</v>
      </c>
      <c r="H29" s="165">
        <f t="shared" si="1"/>
        <v>158.4</v>
      </c>
      <c r="I29" s="172">
        <v>5</v>
      </c>
      <c r="J29" s="167">
        <f t="shared" si="2"/>
        <v>57997.5</v>
      </c>
      <c r="K29" s="168">
        <f t="shared" si="3"/>
        <v>12.392628205128204</v>
      </c>
      <c r="L29" s="169">
        <f t="shared" si="4"/>
        <v>3.0981570512820511</v>
      </c>
      <c r="M29" s="170">
        <f t="shared" si="6"/>
        <v>1908.4647435897434</v>
      </c>
      <c r="N29" s="171">
        <f t="shared" si="7"/>
        <v>8506.2999999999993</v>
      </c>
      <c r="O29" s="3"/>
      <c r="P29" s="3"/>
      <c r="Q29" s="193" t="s">
        <v>68</v>
      </c>
      <c r="R29" s="187">
        <f t="shared" si="8"/>
        <v>1431610.2899999998</v>
      </c>
      <c r="S29" s="3"/>
      <c r="T29" s="3"/>
      <c r="U29" s="135"/>
      <c r="V29" s="135"/>
    </row>
    <row r="30" spans="1:22" ht="15.75" customHeight="1" x14ac:dyDescent="0.3">
      <c r="A30" s="3"/>
      <c r="B30" s="3"/>
      <c r="C30" s="162">
        <f t="shared" si="5"/>
        <v>45905</v>
      </c>
      <c r="D30" s="163">
        <v>21</v>
      </c>
      <c r="E30" s="164">
        <v>1.5</v>
      </c>
      <c r="F30" s="63">
        <v>15.444000000000001</v>
      </c>
      <c r="G30" s="165">
        <f t="shared" si="0"/>
        <v>28285.685999999998</v>
      </c>
      <c r="H30" s="165">
        <f t="shared" si="1"/>
        <v>231.66</v>
      </c>
      <c r="I30" s="166">
        <v>5</v>
      </c>
      <c r="J30" s="167">
        <f t="shared" si="2"/>
        <v>57997.5</v>
      </c>
      <c r="K30" s="168">
        <f t="shared" si="3"/>
        <v>12.392628205128204</v>
      </c>
      <c r="L30" s="169">
        <f t="shared" si="4"/>
        <v>3.0981570512820511</v>
      </c>
      <c r="M30" s="170">
        <f t="shared" si="6"/>
        <v>1908.4647435897434</v>
      </c>
      <c r="N30" s="171">
        <f t="shared" si="7"/>
        <v>10414.764743589743</v>
      </c>
      <c r="O30" s="3"/>
      <c r="P30" s="3"/>
      <c r="Q30" s="3"/>
      <c r="R30" s="3"/>
      <c r="S30" s="3"/>
      <c r="T30" s="3"/>
      <c r="U30" s="135"/>
      <c r="V30" s="135"/>
    </row>
    <row r="31" spans="1:22" ht="15.75" customHeight="1" x14ac:dyDescent="0.3">
      <c r="A31" s="3"/>
      <c r="B31" s="3"/>
      <c r="C31" s="162">
        <f t="shared" si="5"/>
        <v>45912</v>
      </c>
      <c r="D31" s="163">
        <v>28</v>
      </c>
      <c r="E31" s="164">
        <v>2.5</v>
      </c>
      <c r="F31" s="63">
        <v>15.048</v>
      </c>
      <c r="G31" s="165">
        <f t="shared" si="0"/>
        <v>45934.02</v>
      </c>
      <c r="H31" s="165">
        <f t="shared" si="1"/>
        <v>376.2</v>
      </c>
      <c r="I31" s="172">
        <v>6</v>
      </c>
      <c r="J31" s="167">
        <f t="shared" si="2"/>
        <v>69597</v>
      </c>
      <c r="K31" s="168">
        <f t="shared" si="3"/>
        <v>14.871153846153845</v>
      </c>
      <c r="L31" s="169">
        <f t="shared" si="4"/>
        <v>3.7177884615384613</v>
      </c>
      <c r="M31" s="170">
        <f t="shared" si="6"/>
        <v>2290.1576923076923</v>
      </c>
      <c r="N31" s="171">
        <f t="shared" si="7"/>
        <v>12704.922435897435</v>
      </c>
      <c r="O31" s="3"/>
      <c r="P31" s="3"/>
      <c r="Q31" s="3"/>
      <c r="R31" s="3"/>
      <c r="S31" s="3"/>
      <c r="T31" s="3"/>
      <c r="U31" s="135"/>
      <c r="V31" s="135"/>
    </row>
    <row r="32" spans="1:22" ht="15.75" customHeight="1" x14ac:dyDescent="0.3">
      <c r="A32" s="3"/>
      <c r="B32" s="3"/>
      <c r="C32" s="162">
        <f t="shared" si="5"/>
        <v>45919</v>
      </c>
      <c r="D32" s="163">
        <v>35</v>
      </c>
      <c r="E32" s="164">
        <v>3.6</v>
      </c>
      <c r="F32" s="63">
        <v>14.652000000000001</v>
      </c>
      <c r="G32" s="165">
        <f t="shared" si="0"/>
        <v>64404.331200000008</v>
      </c>
      <c r="H32" s="165">
        <f t="shared" si="1"/>
        <v>527.47200000000009</v>
      </c>
      <c r="I32" s="166">
        <v>6</v>
      </c>
      <c r="J32" s="167">
        <f t="shared" si="2"/>
        <v>69597</v>
      </c>
      <c r="K32" s="168">
        <f t="shared" si="3"/>
        <v>14.871153846153845</v>
      </c>
      <c r="L32" s="169">
        <f t="shared" si="4"/>
        <v>3.7177884615384613</v>
      </c>
      <c r="M32" s="170">
        <f t="shared" si="6"/>
        <v>2290.1576923076923</v>
      </c>
      <c r="N32" s="171">
        <f t="shared" si="7"/>
        <v>14995.080128205127</v>
      </c>
      <c r="O32" s="3"/>
      <c r="P32" s="3"/>
      <c r="Q32" s="3"/>
      <c r="R32" s="3"/>
      <c r="S32" s="3"/>
      <c r="T32" s="3"/>
      <c r="U32" s="135"/>
      <c r="V32" s="135"/>
    </row>
    <row r="33" spans="1:22" ht="15.75" customHeight="1" x14ac:dyDescent="0.3">
      <c r="A33" s="3"/>
      <c r="B33" s="3"/>
      <c r="C33" s="162">
        <f t="shared" si="5"/>
        <v>45926</v>
      </c>
      <c r="D33" s="163">
        <v>42</v>
      </c>
      <c r="E33" s="164">
        <v>5</v>
      </c>
      <c r="F33" s="63">
        <v>14.256000000000002</v>
      </c>
      <c r="G33" s="165">
        <f t="shared" si="0"/>
        <v>87032.880000000019</v>
      </c>
      <c r="H33" s="165">
        <f t="shared" si="1"/>
        <v>712.80000000000018</v>
      </c>
      <c r="I33" s="172">
        <v>6</v>
      </c>
      <c r="J33" s="167">
        <f t="shared" si="2"/>
        <v>69597</v>
      </c>
      <c r="K33" s="168">
        <f t="shared" si="3"/>
        <v>14.871153846153845</v>
      </c>
      <c r="L33" s="169">
        <f t="shared" si="4"/>
        <v>3.7177884615384613</v>
      </c>
      <c r="M33" s="170">
        <f t="shared" si="6"/>
        <v>2290.1576923076923</v>
      </c>
      <c r="N33" s="171">
        <f t="shared" si="7"/>
        <v>17285.237820512819</v>
      </c>
      <c r="O33" s="3"/>
      <c r="P33" s="3"/>
      <c r="Q33" s="3"/>
      <c r="R33" s="3"/>
      <c r="S33" s="3"/>
      <c r="T33" s="3"/>
      <c r="U33" s="135"/>
      <c r="V33" s="135"/>
    </row>
    <row r="34" spans="1:22" ht="15.75" customHeight="1" x14ac:dyDescent="0.3">
      <c r="A34" s="3"/>
      <c r="B34" s="3"/>
      <c r="C34" s="162">
        <f t="shared" si="5"/>
        <v>45933</v>
      </c>
      <c r="D34" s="163">
        <v>49</v>
      </c>
      <c r="E34" s="164">
        <v>6.4</v>
      </c>
      <c r="F34" s="63">
        <v>13.86</v>
      </c>
      <c r="G34" s="165">
        <f t="shared" si="0"/>
        <v>108307.584</v>
      </c>
      <c r="H34" s="165">
        <f t="shared" si="1"/>
        <v>887.04000000000008</v>
      </c>
      <c r="I34" s="166">
        <v>7</v>
      </c>
      <c r="J34" s="167">
        <f t="shared" si="2"/>
        <v>81196.5</v>
      </c>
      <c r="K34" s="168">
        <f t="shared" si="3"/>
        <v>17.349679487179486</v>
      </c>
      <c r="L34" s="169">
        <f t="shared" si="4"/>
        <v>4.3374198717948715</v>
      </c>
      <c r="M34" s="170">
        <f t="shared" si="6"/>
        <v>2671.8506410256409</v>
      </c>
      <c r="N34" s="171">
        <f t="shared" si="7"/>
        <v>19957.08846153846</v>
      </c>
      <c r="O34" s="3"/>
      <c r="P34" s="3"/>
      <c r="Q34" s="3"/>
      <c r="R34" s="3"/>
      <c r="S34" s="3"/>
      <c r="T34" s="3"/>
      <c r="U34" s="135"/>
      <c r="V34" s="135"/>
    </row>
    <row r="35" spans="1:22" ht="15.75" customHeight="1" x14ac:dyDescent="0.3">
      <c r="A35" s="3"/>
      <c r="B35" s="3"/>
      <c r="C35" s="162">
        <f t="shared" si="5"/>
        <v>45940</v>
      </c>
      <c r="D35" s="163">
        <v>56</v>
      </c>
      <c r="E35" s="164">
        <v>7.8000000000000007</v>
      </c>
      <c r="F35" s="63">
        <v>13.464</v>
      </c>
      <c r="G35" s="165">
        <f t="shared" si="0"/>
        <v>128228.44319999999</v>
      </c>
      <c r="H35" s="165">
        <f t="shared" si="1"/>
        <v>1050.192</v>
      </c>
      <c r="I35" s="166">
        <v>8</v>
      </c>
      <c r="J35" s="167">
        <f t="shared" si="2"/>
        <v>92796</v>
      </c>
      <c r="K35" s="168">
        <f t="shared" si="3"/>
        <v>19.828205128205127</v>
      </c>
      <c r="L35" s="169">
        <f t="shared" si="4"/>
        <v>4.9570512820512818</v>
      </c>
      <c r="M35" s="170">
        <f t="shared" si="6"/>
        <v>3053.5435897435896</v>
      </c>
      <c r="N35" s="171">
        <f t="shared" si="7"/>
        <v>23010.632051282049</v>
      </c>
      <c r="O35" s="3"/>
      <c r="P35" s="3"/>
      <c r="Q35" s="3"/>
      <c r="R35" s="3"/>
      <c r="S35" s="3"/>
      <c r="T35" s="3"/>
      <c r="U35" s="135"/>
      <c r="V35" s="135"/>
    </row>
    <row r="36" spans="1:22" ht="15.75" customHeight="1" x14ac:dyDescent="0.3">
      <c r="A36" s="3"/>
      <c r="B36" s="3"/>
      <c r="C36" s="162">
        <f t="shared" si="5"/>
        <v>45947</v>
      </c>
      <c r="D36" s="163">
        <v>63</v>
      </c>
      <c r="E36" s="164">
        <v>9.2000000000000011</v>
      </c>
      <c r="F36" s="63">
        <v>13.068</v>
      </c>
      <c r="G36" s="165">
        <f t="shared" si="0"/>
        <v>146795.45759999999</v>
      </c>
      <c r="H36" s="165">
        <f t="shared" si="1"/>
        <v>1202.2560000000001</v>
      </c>
      <c r="I36" s="166">
        <v>10</v>
      </c>
      <c r="J36" s="167">
        <f t="shared" si="2"/>
        <v>115995</v>
      </c>
      <c r="K36" s="168">
        <f t="shared" si="3"/>
        <v>24.785256410256409</v>
      </c>
      <c r="L36" s="169">
        <f t="shared" si="4"/>
        <v>6.1963141025641022</v>
      </c>
      <c r="M36" s="170">
        <f t="shared" si="6"/>
        <v>3816.9294871794868</v>
      </c>
      <c r="N36" s="171">
        <f t="shared" si="7"/>
        <v>26827.561538461538</v>
      </c>
      <c r="O36" s="3"/>
      <c r="P36" s="3"/>
      <c r="Q36" s="3"/>
      <c r="R36" s="3"/>
      <c r="S36" s="3"/>
      <c r="T36" s="3"/>
      <c r="U36" s="135"/>
      <c r="V36" s="135"/>
    </row>
    <row r="37" spans="1:22" ht="15.75" customHeight="1" x14ac:dyDescent="0.3">
      <c r="A37" s="3"/>
      <c r="B37" s="3"/>
      <c r="C37" s="162">
        <f t="shared" si="5"/>
        <v>45954</v>
      </c>
      <c r="D37" s="163">
        <v>70</v>
      </c>
      <c r="E37" s="164">
        <v>10.600000000000001</v>
      </c>
      <c r="F37" s="63">
        <v>12.672000000000001</v>
      </c>
      <c r="G37" s="165">
        <f t="shared" si="0"/>
        <v>164008.62720000002</v>
      </c>
      <c r="H37" s="165">
        <f t="shared" si="1"/>
        <v>1343.2320000000002</v>
      </c>
      <c r="I37" s="166">
        <v>15</v>
      </c>
      <c r="J37" s="167">
        <f t="shared" si="2"/>
        <v>173992.5</v>
      </c>
      <c r="K37" s="168">
        <f t="shared" si="3"/>
        <v>37.177884615384613</v>
      </c>
      <c r="L37" s="169">
        <f t="shared" si="4"/>
        <v>9.2944711538461533</v>
      </c>
      <c r="M37" s="170">
        <f t="shared" si="6"/>
        <v>5725.3942307692305</v>
      </c>
      <c r="N37" s="171">
        <f t="shared" si="7"/>
        <v>32552.955769230768</v>
      </c>
      <c r="O37" s="3"/>
      <c r="P37" s="3"/>
      <c r="Q37" s="3"/>
      <c r="R37" s="3"/>
      <c r="S37" s="3"/>
      <c r="T37" s="3"/>
      <c r="U37" s="135"/>
      <c r="V37" s="135"/>
    </row>
    <row r="38" spans="1:22" ht="15.75" customHeight="1" x14ac:dyDescent="0.3">
      <c r="A38" s="3"/>
      <c r="B38" s="3"/>
      <c r="C38" s="162">
        <f t="shared" si="5"/>
        <v>45961</v>
      </c>
      <c r="D38" s="163">
        <v>77</v>
      </c>
      <c r="E38" s="164">
        <v>12.000000000000002</v>
      </c>
      <c r="F38" s="63">
        <v>12.276000000000002</v>
      </c>
      <c r="G38" s="165">
        <f t="shared" si="0"/>
        <v>179867.95200000002</v>
      </c>
      <c r="H38" s="165">
        <f t="shared" si="1"/>
        <v>1473.1200000000001</v>
      </c>
      <c r="I38" s="166">
        <v>19</v>
      </c>
      <c r="J38" s="167">
        <f t="shared" si="2"/>
        <v>220390.5</v>
      </c>
      <c r="K38" s="168">
        <f t="shared" si="3"/>
        <v>47.091987179487177</v>
      </c>
      <c r="L38" s="169">
        <f t="shared" si="4"/>
        <v>11.772996794871794</v>
      </c>
      <c r="M38" s="170">
        <f t="shared" si="6"/>
        <v>7252.166025641025</v>
      </c>
      <c r="N38" s="171">
        <f t="shared" si="7"/>
        <v>39805.121794871797</v>
      </c>
      <c r="O38" s="3"/>
      <c r="P38" s="3"/>
      <c r="Q38" s="3"/>
      <c r="R38" s="3"/>
      <c r="S38" s="3"/>
      <c r="T38" s="3"/>
      <c r="U38" s="135"/>
      <c r="V38" s="135"/>
    </row>
    <row r="39" spans="1:22" ht="15.75" customHeight="1" x14ac:dyDescent="0.3">
      <c r="A39" s="3"/>
      <c r="B39" s="3"/>
      <c r="C39" s="162">
        <f t="shared" si="5"/>
        <v>45968</v>
      </c>
      <c r="D39" s="177">
        <f t="shared" ref="D39:D41" si="9">+D38+7</f>
        <v>84</v>
      </c>
      <c r="E39" s="164">
        <v>13.400000000000002</v>
      </c>
      <c r="F39" s="63">
        <v>10.177</v>
      </c>
      <c r="G39" s="165">
        <f t="shared" si="0"/>
        <v>166509.96780000001</v>
      </c>
      <c r="H39" s="165">
        <f t="shared" si="1"/>
        <v>1363.7180000000001</v>
      </c>
      <c r="I39" s="166">
        <v>18</v>
      </c>
      <c r="J39" s="167">
        <f t="shared" si="2"/>
        <v>208791</v>
      </c>
      <c r="K39" s="168">
        <f t="shared" si="3"/>
        <v>44.613461538461536</v>
      </c>
      <c r="L39" s="169">
        <f t="shared" si="4"/>
        <v>11.153365384615384</v>
      </c>
      <c r="M39" s="170">
        <f t="shared" si="6"/>
        <v>6870.4730769230764</v>
      </c>
      <c r="N39" s="171">
        <f t="shared" si="7"/>
        <v>46675.59487179487</v>
      </c>
      <c r="O39" s="3"/>
      <c r="P39" s="3"/>
      <c r="Q39" s="3"/>
      <c r="R39" s="3"/>
      <c r="S39" s="3"/>
      <c r="T39" s="3"/>
      <c r="U39" s="135"/>
      <c r="V39" s="135"/>
    </row>
    <row r="40" spans="1:22" ht="15.75" customHeight="1" x14ac:dyDescent="0.3">
      <c r="A40" s="3"/>
      <c r="B40" s="3"/>
      <c r="C40" s="162">
        <f t="shared" si="5"/>
        <v>45975</v>
      </c>
      <c r="D40" s="177">
        <f t="shared" si="9"/>
        <v>91</v>
      </c>
      <c r="E40" s="164">
        <v>14.800000000000002</v>
      </c>
      <c r="F40" s="63">
        <v>10.077999999999999</v>
      </c>
      <c r="G40" s="165">
        <f t="shared" si="0"/>
        <v>182117.52240000002</v>
      </c>
      <c r="H40" s="165">
        <f t="shared" si="1"/>
        <v>1491.5440000000001</v>
      </c>
      <c r="I40" s="166">
        <v>19</v>
      </c>
      <c r="J40" s="167">
        <f t="shared" si="2"/>
        <v>220390.5</v>
      </c>
      <c r="K40" s="168">
        <f t="shared" si="3"/>
        <v>47.091987179487177</v>
      </c>
      <c r="L40" s="169">
        <f t="shared" si="4"/>
        <v>11.772996794871794</v>
      </c>
      <c r="M40" s="170">
        <f t="shared" si="6"/>
        <v>7252.166025641025</v>
      </c>
      <c r="N40" s="171">
        <f t="shared" si="7"/>
        <v>53927.760897435895</v>
      </c>
      <c r="O40" s="3"/>
      <c r="P40" s="3"/>
      <c r="Q40" s="3"/>
      <c r="R40" s="3"/>
      <c r="S40" s="3"/>
      <c r="T40" s="3"/>
      <c r="U40" s="135"/>
      <c r="V40" s="135"/>
    </row>
    <row r="41" spans="1:22" ht="15.75" customHeight="1" x14ac:dyDescent="0.3">
      <c r="A41" s="3"/>
      <c r="B41" s="3"/>
      <c r="C41" s="178">
        <f t="shared" si="5"/>
        <v>45982</v>
      </c>
      <c r="D41" s="179">
        <f t="shared" si="9"/>
        <v>98</v>
      </c>
      <c r="E41" s="180">
        <v>16.200000000000003</v>
      </c>
      <c r="F41" s="75">
        <v>10.077999999999999</v>
      </c>
      <c r="G41" s="181">
        <f t="shared" si="0"/>
        <v>199344.85560000001</v>
      </c>
      <c r="H41" s="181">
        <f t="shared" si="1"/>
        <v>1632.6360000000002</v>
      </c>
      <c r="I41" s="182">
        <v>19</v>
      </c>
      <c r="J41" s="183">
        <f t="shared" si="2"/>
        <v>220390.5</v>
      </c>
      <c r="K41" s="184">
        <f t="shared" si="3"/>
        <v>47.091987179487177</v>
      </c>
      <c r="L41" s="185">
        <f t="shared" si="4"/>
        <v>11.772996794871794</v>
      </c>
      <c r="M41" s="186">
        <f t="shared" si="6"/>
        <v>7252.166025641025</v>
      </c>
      <c r="N41" s="187">
        <f t="shared" si="7"/>
        <v>61179.926923076921</v>
      </c>
      <c r="O41" s="3"/>
      <c r="P41" s="3"/>
      <c r="Q41" s="3"/>
      <c r="R41" s="3"/>
      <c r="S41" s="3"/>
      <c r="T41" s="3"/>
      <c r="U41" s="135"/>
      <c r="V41" s="135"/>
    </row>
    <row r="42" spans="1:22" ht="15.75" customHeight="1" x14ac:dyDescent="0.3">
      <c r="A42" s="3"/>
      <c r="B42" s="3"/>
      <c r="C42" s="3"/>
      <c r="D42" s="3"/>
      <c r="E42" s="28"/>
      <c r="F42" s="3"/>
      <c r="G42" s="3"/>
      <c r="H42" s="3"/>
      <c r="I42" s="3"/>
      <c r="J42" s="3"/>
      <c r="K42" s="3"/>
      <c r="L42" s="3"/>
      <c r="M42" s="3"/>
      <c r="N42" s="188"/>
      <c r="O42" s="3"/>
      <c r="P42" s="3"/>
      <c r="Q42" s="3"/>
      <c r="R42" s="3"/>
      <c r="S42" s="3"/>
      <c r="T42" s="3"/>
      <c r="U42" s="135"/>
      <c r="V42" s="135"/>
    </row>
    <row r="43" spans="1:22" ht="15.75" customHeight="1" x14ac:dyDescent="0.3">
      <c r="A43" s="3"/>
      <c r="B43" s="3"/>
      <c r="C43" s="3"/>
      <c r="D43" s="3"/>
      <c r="E43" s="28"/>
      <c r="F43" s="354" t="s">
        <v>79</v>
      </c>
      <c r="G43" s="349"/>
      <c r="H43" s="350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135"/>
      <c r="V43" s="135"/>
    </row>
    <row r="44" spans="1:22" ht="15.75" customHeight="1" x14ac:dyDescent="0.3">
      <c r="A44" s="3"/>
      <c r="B44" s="3"/>
      <c r="C44" s="3"/>
      <c r="D44" s="3"/>
      <c r="E44" s="28"/>
      <c r="F44" s="194" t="s">
        <v>95</v>
      </c>
      <c r="G44" s="195" t="s">
        <v>125</v>
      </c>
      <c r="H44" s="196" t="s">
        <v>126</v>
      </c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135"/>
      <c r="V44" s="135"/>
    </row>
    <row r="45" spans="1:22" ht="15.75" customHeight="1" x14ac:dyDescent="0.3">
      <c r="A45" s="3"/>
      <c r="B45" s="3"/>
      <c r="C45" s="3"/>
      <c r="D45" s="3"/>
      <c r="E45" s="28"/>
      <c r="F45" s="197" t="s">
        <v>127</v>
      </c>
      <c r="G45" s="198"/>
      <c r="H45" s="199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135"/>
      <c r="V45" s="135"/>
    </row>
    <row r="46" spans="1:22" ht="15.75" customHeight="1" x14ac:dyDescent="0.3">
      <c r="A46" s="3"/>
      <c r="B46" s="3"/>
      <c r="C46" s="3"/>
      <c r="D46" s="3"/>
      <c r="E46" s="28"/>
      <c r="F46" s="131" t="s">
        <v>128</v>
      </c>
      <c r="G46" s="128"/>
      <c r="H46" s="129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135"/>
      <c r="V46" s="135"/>
    </row>
    <row r="47" spans="1:22" ht="15.75" customHeight="1" x14ac:dyDescent="0.3">
      <c r="A47" s="3"/>
      <c r="B47" s="3"/>
      <c r="C47" s="3"/>
      <c r="D47" s="3"/>
      <c r="E47" s="28"/>
      <c r="F47" s="131" t="s">
        <v>8</v>
      </c>
      <c r="G47" s="164">
        <f>SUM(M7:M9)</f>
        <v>0</v>
      </c>
      <c r="H47" s="171">
        <f t="shared" ref="H47:H54" si="10">+G47*R$15</f>
        <v>0</v>
      </c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135"/>
      <c r="V47" s="135"/>
    </row>
    <row r="48" spans="1:22" ht="15.75" customHeight="1" x14ac:dyDescent="0.3">
      <c r="A48" s="3"/>
      <c r="B48" s="3"/>
      <c r="C48" s="3"/>
      <c r="D48" s="3"/>
      <c r="E48" s="28"/>
      <c r="F48" s="131" t="s">
        <v>9</v>
      </c>
      <c r="G48" s="164">
        <f>SUM(M10:M13)</f>
        <v>0</v>
      </c>
      <c r="H48" s="171">
        <f t="shared" si="10"/>
        <v>0</v>
      </c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135"/>
      <c r="V48" s="135"/>
    </row>
    <row r="49" spans="1:22" ht="15.75" customHeight="1" x14ac:dyDescent="0.3">
      <c r="A49" s="3"/>
      <c r="B49" s="3"/>
      <c r="C49" s="3"/>
      <c r="D49" s="3"/>
      <c r="E49" s="28"/>
      <c r="F49" s="131" t="s">
        <v>10</v>
      </c>
      <c r="G49" s="164">
        <f>SUM(M14:M18)</f>
        <v>0</v>
      </c>
      <c r="H49" s="171">
        <f t="shared" si="10"/>
        <v>0</v>
      </c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135"/>
      <c r="V49" s="135"/>
    </row>
    <row r="50" spans="1:22" ht="15.75" customHeight="1" x14ac:dyDescent="0.3">
      <c r="A50" s="3"/>
      <c r="B50" s="3"/>
      <c r="C50" s="3"/>
      <c r="D50" s="3"/>
      <c r="E50" s="28"/>
      <c r="F50" s="131" t="s">
        <v>11</v>
      </c>
      <c r="G50" s="164">
        <f>SUM(M19:M22)</f>
        <v>0</v>
      </c>
      <c r="H50" s="171">
        <f t="shared" si="10"/>
        <v>0</v>
      </c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135"/>
      <c r="V50" s="135"/>
    </row>
    <row r="51" spans="1:22" ht="15.75" customHeight="1" x14ac:dyDescent="0.3">
      <c r="A51" s="3"/>
      <c r="B51" s="3"/>
      <c r="C51" s="3"/>
      <c r="D51" s="3"/>
      <c r="E51" s="28"/>
      <c r="F51" s="131" t="s">
        <v>13</v>
      </c>
      <c r="G51" s="164">
        <f>SUM(M27:M30)</f>
        <v>10414.764743589743</v>
      </c>
      <c r="H51" s="171">
        <f t="shared" si="10"/>
        <v>243705.49499999997</v>
      </c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135"/>
      <c r="V51" s="135"/>
    </row>
    <row r="52" spans="1:22" ht="15.75" customHeight="1" x14ac:dyDescent="0.3">
      <c r="A52" s="3"/>
      <c r="B52" s="3"/>
      <c r="C52" s="3"/>
      <c r="D52" s="3"/>
      <c r="E52" s="28"/>
      <c r="F52" s="131" t="s">
        <v>14</v>
      </c>
      <c r="G52" s="164">
        <f>SUM(M31:M35)</f>
        <v>12595.867307692308</v>
      </c>
      <c r="H52" s="171">
        <f t="shared" si="10"/>
        <v>294743.29499999998</v>
      </c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135"/>
      <c r="V52" s="135"/>
    </row>
    <row r="53" spans="1:22" ht="15.75" customHeight="1" x14ac:dyDescent="0.3">
      <c r="A53" s="3"/>
      <c r="B53" s="3"/>
      <c r="C53" s="3"/>
      <c r="D53" s="3"/>
      <c r="E53" s="28"/>
      <c r="F53" s="131" t="s">
        <v>15</v>
      </c>
      <c r="G53" s="164">
        <f>SUM(M36:M40)</f>
        <v>30917.128846153846</v>
      </c>
      <c r="H53" s="171">
        <f t="shared" si="10"/>
        <v>723460.81499999994</v>
      </c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135"/>
      <c r="V53" s="135"/>
    </row>
    <row r="54" spans="1:22" ht="15.75" customHeight="1" x14ac:dyDescent="0.3">
      <c r="A54" s="3"/>
      <c r="B54" s="3"/>
      <c r="C54" s="3"/>
      <c r="D54" s="3"/>
      <c r="E54" s="28"/>
      <c r="F54" s="131" t="s">
        <v>16</v>
      </c>
      <c r="G54" s="164">
        <f>SUM(M41)</f>
        <v>7252.166025641025</v>
      </c>
      <c r="H54" s="171">
        <f t="shared" si="10"/>
        <v>169700.68499999997</v>
      </c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135"/>
      <c r="V54" s="135"/>
    </row>
    <row r="55" spans="1:22" ht="15.75" customHeight="1" x14ac:dyDescent="0.3">
      <c r="A55" s="3"/>
      <c r="B55" s="3"/>
      <c r="C55" s="3"/>
      <c r="D55" s="3"/>
      <c r="E55" s="28"/>
      <c r="F55" s="200" t="s">
        <v>17</v>
      </c>
      <c r="G55" s="128"/>
      <c r="H55" s="129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135"/>
      <c r="V55" s="135"/>
    </row>
    <row r="56" spans="1:22" ht="15.75" customHeight="1" x14ac:dyDescent="0.3">
      <c r="A56" s="3"/>
      <c r="B56" s="3"/>
      <c r="C56" s="3"/>
      <c r="D56" s="3"/>
      <c r="E56" s="28"/>
      <c r="F56" s="200" t="s">
        <v>17</v>
      </c>
      <c r="G56" s="201"/>
      <c r="H56" s="202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135"/>
      <c r="V56" s="135"/>
    </row>
    <row r="57" spans="1:22" ht="15.75" customHeight="1" x14ac:dyDescent="0.3">
      <c r="A57" s="3"/>
      <c r="B57" s="3"/>
      <c r="C57" s="3"/>
      <c r="D57" s="3"/>
      <c r="E57" s="28"/>
      <c r="F57" s="203" t="s">
        <v>67</v>
      </c>
      <c r="G57" s="204">
        <f t="shared" ref="G57:H57" si="11">SUM(G45:G56)</f>
        <v>61179.926923076928</v>
      </c>
      <c r="H57" s="205">
        <f t="shared" si="11"/>
        <v>1431610.29</v>
      </c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135"/>
      <c r="V57" s="135"/>
    </row>
    <row r="58" spans="1:22" ht="15.75" customHeight="1" x14ac:dyDescent="0.3">
      <c r="A58" s="3"/>
      <c r="B58" s="3"/>
      <c r="C58" s="3"/>
      <c r="D58" s="3"/>
      <c r="E58" s="28"/>
      <c r="F58" s="12" t="s">
        <v>129</v>
      </c>
      <c r="G58" s="206">
        <f>+G57/D3</f>
        <v>501.0641025641026</v>
      </c>
      <c r="H58" s="207">
        <f>+H57/D3</f>
        <v>11724.900000000001</v>
      </c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135"/>
      <c r="V58" s="135"/>
    </row>
    <row r="59" spans="1:22" ht="15.75" customHeight="1" x14ac:dyDescent="0.3">
      <c r="A59" s="3"/>
      <c r="B59" s="3"/>
      <c r="C59" s="3"/>
      <c r="D59" s="3"/>
      <c r="E59" s="28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135"/>
      <c r="V59" s="135"/>
    </row>
    <row r="60" spans="1:22" ht="15.75" customHeight="1" x14ac:dyDescent="0.3">
      <c r="A60" s="3"/>
      <c r="B60" s="3"/>
      <c r="C60" s="3"/>
      <c r="D60" s="3"/>
      <c r="E60" s="28"/>
      <c r="F60" s="3"/>
      <c r="G60" s="3"/>
      <c r="H60" s="28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135"/>
      <c r="V60" s="135"/>
    </row>
    <row r="61" spans="1:22" ht="15.75" customHeight="1" x14ac:dyDescent="0.3">
      <c r="A61" s="3"/>
      <c r="B61" s="3"/>
      <c r="C61" s="3"/>
      <c r="D61" s="3"/>
      <c r="E61" s="28"/>
      <c r="F61" s="3"/>
      <c r="G61" s="3"/>
      <c r="H61" s="28"/>
      <c r="I61" s="28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135"/>
      <c r="V61" s="135"/>
    </row>
    <row r="62" spans="1:22" ht="15.75" customHeight="1" x14ac:dyDescent="0.3">
      <c r="A62" s="3"/>
      <c r="B62" s="3"/>
      <c r="C62" s="3"/>
      <c r="D62" s="3"/>
      <c r="E62" s="28"/>
      <c r="F62" s="3"/>
      <c r="G62" s="3"/>
      <c r="H62" s="28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135"/>
      <c r="V62" s="135"/>
    </row>
    <row r="63" spans="1:22" ht="15.75" customHeight="1" x14ac:dyDescent="0.3">
      <c r="A63" s="3"/>
      <c r="B63" s="3"/>
      <c r="C63" s="3"/>
      <c r="D63" s="3"/>
      <c r="E63" s="28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135"/>
      <c r="V63" s="135"/>
    </row>
    <row r="64" spans="1:22" ht="15.75" customHeight="1" x14ac:dyDescent="0.3">
      <c r="A64" s="3"/>
      <c r="B64" s="3"/>
      <c r="C64" s="3"/>
      <c r="D64" s="3"/>
      <c r="E64" s="28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135"/>
      <c r="V64" s="135"/>
    </row>
    <row r="65" spans="1:22" ht="15.75" customHeight="1" x14ac:dyDescent="0.3">
      <c r="A65" s="3"/>
      <c r="B65" s="3"/>
      <c r="C65" s="3"/>
      <c r="D65" s="3"/>
      <c r="E65" s="28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135"/>
      <c r="V65" s="135"/>
    </row>
    <row r="66" spans="1:22" ht="15.75" customHeight="1" x14ac:dyDescent="0.3">
      <c r="A66" s="3"/>
      <c r="B66" s="3"/>
      <c r="C66" s="3"/>
      <c r="D66" s="3"/>
      <c r="E66" s="28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135"/>
      <c r="V66" s="135"/>
    </row>
    <row r="67" spans="1:22" ht="15.75" customHeight="1" x14ac:dyDescent="0.3">
      <c r="A67" s="3"/>
      <c r="B67" s="3"/>
      <c r="C67" s="3"/>
      <c r="D67" s="3"/>
      <c r="E67" s="28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135"/>
      <c r="V67" s="135"/>
    </row>
    <row r="68" spans="1:22" ht="15.75" customHeight="1" x14ac:dyDescent="0.3">
      <c r="A68" s="3"/>
      <c r="B68" s="3"/>
      <c r="C68" s="3"/>
      <c r="D68" s="3"/>
      <c r="E68" s="28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135"/>
      <c r="V68" s="135"/>
    </row>
    <row r="69" spans="1:22" ht="15.75" customHeight="1" x14ac:dyDescent="0.3">
      <c r="A69" s="3"/>
      <c r="B69" s="3"/>
      <c r="C69" s="3"/>
      <c r="D69" s="3"/>
      <c r="E69" s="28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135"/>
      <c r="V69" s="135"/>
    </row>
    <row r="70" spans="1:22" ht="15.75" customHeight="1" x14ac:dyDescent="0.3">
      <c r="A70" s="3"/>
      <c r="B70" s="3"/>
      <c r="C70" s="3"/>
      <c r="D70" s="3"/>
      <c r="E70" s="28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135"/>
      <c r="V70" s="135"/>
    </row>
    <row r="71" spans="1:22" ht="15.75" customHeight="1" x14ac:dyDescent="0.3">
      <c r="A71" s="3"/>
      <c r="B71" s="3"/>
      <c r="C71" s="3"/>
      <c r="D71" s="3"/>
      <c r="E71" s="28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135"/>
      <c r="V71" s="135"/>
    </row>
    <row r="72" spans="1:22" ht="15.75" customHeight="1" x14ac:dyDescent="0.3">
      <c r="A72" s="3"/>
      <c r="B72" s="3"/>
      <c r="C72" s="3"/>
      <c r="D72" s="3"/>
      <c r="E72" s="28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135"/>
      <c r="V72" s="135"/>
    </row>
    <row r="73" spans="1:22" ht="15.75" customHeight="1" x14ac:dyDescent="0.3">
      <c r="A73" s="3"/>
      <c r="B73" s="3"/>
      <c r="C73" s="3"/>
      <c r="D73" s="3"/>
      <c r="E73" s="28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135"/>
      <c r="V73" s="135"/>
    </row>
    <row r="74" spans="1:22" ht="15.75" customHeight="1" x14ac:dyDescent="0.3">
      <c r="A74" s="3"/>
      <c r="B74" s="3"/>
      <c r="C74" s="3"/>
      <c r="D74" s="3"/>
      <c r="E74" s="28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135"/>
      <c r="V74" s="135"/>
    </row>
    <row r="75" spans="1:22" ht="15.75" customHeight="1" x14ac:dyDescent="0.3">
      <c r="A75" s="3"/>
      <c r="B75" s="3"/>
      <c r="C75" s="3"/>
      <c r="D75" s="3"/>
      <c r="E75" s="28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135"/>
      <c r="V75" s="135"/>
    </row>
    <row r="76" spans="1:22" ht="15.75" customHeigh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135"/>
      <c r="V76" s="135"/>
    </row>
    <row r="77" spans="1:22" ht="15.75" customHeigh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135"/>
      <c r="V77" s="135"/>
    </row>
    <row r="78" spans="1:22" ht="15.75" customHeigh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135"/>
      <c r="V78" s="135"/>
    </row>
    <row r="79" spans="1:22" ht="15.75" customHeigh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135"/>
      <c r="V79" s="135"/>
    </row>
    <row r="80" spans="1:22" ht="15.75" customHeigh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135"/>
      <c r="V80" s="135"/>
    </row>
    <row r="81" spans="1:22" ht="15.75" customHeigh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135"/>
      <c r="V81" s="135"/>
    </row>
    <row r="82" spans="1:22" ht="15.75" customHeigh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135"/>
      <c r="V82" s="135"/>
    </row>
    <row r="83" spans="1:22" ht="15.75" customHeigh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135"/>
      <c r="V83" s="135"/>
    </row>
    <row r="84" spans="1:22" ht="15.75" customHeigh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135"/>
      <c r="V84" s="135"/>
    </row>
    <row r="85" spans="1:22" ht="15.75" customHeigh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135"/>
      <c r="V85" s="135"/>
    </row>
    <row r="86" spans="1:22" ht="15.75" customHeigh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135"/>
      <c r="V86" s="135"/>
    </row>
    <row r="87" spans="1:22" ht="15.75" customHeigh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135"/>
      <c r="V87" s="135"/>
    </row>
    <row r="88" spans="1:22" ht="15.75" customHeigh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135"/>
      <c r="V88" s="135"/>
    </row>
    <row r="89" spans="1:22" ht="15.75" customHeigh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135"/>
      <c r="V89" s="135"/>
    </row>
    <row r="90" spans="1:22" ht="15.75" customHeigh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135"/>
      <c r="V90" s="135"/>
    </row>
    <row r="91" spans="1:22" ht="15.75" customHeigh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135"/>
      <c r="V91" s="135"/>
    </row>
    <row r="92" spans="1:22" ht="15.75" customHeigh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135"/>
      <c r="V92" s="135"/>
    </row>
    <row r="93" spans="1:22" ht="15.75" customHeigh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135"/>
      <c r="V93" s="135"/>
    </row>
    <row r="94" spans="1:22" ht="15.75" customHeigh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135"/>
      <c r="V94" s="135"/>
    </row>
    <row r="95" spans="1:22" ht="15.75" customHeigh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135"/>
      <c r="V95" s="135"/>
    </row>
    <row r="96" spans="1:22" ht="15.75" customHeigh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135"/>
      <c r="V96" s="135"/>
    </row>
    <row r="97" spans="1:22" ht="15.75" customHeigh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135"/>
      <c r="V97" s="135"/>
    </row>
    <row r="98" spans="1:22" ht="15.75" customHeigh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135"/>
      <c r="V98" s="135"/>
    </row>
    <row r="99" spans="1:22" ht="15.75" customHeigh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135"/>
      <c r="V99" s="135"/>
    </row>
    <row r="100" spans="1:22" ht="15.75" customHeigh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135"/>
      <c r="V100" s="135"/>
    </row>
  </sheetData>
  <mergeCells count="10">
    <mergeCell ref="Q2:R2"/>
    <mergeCell ref="I4:K4"/>
    <mergeCell ref="K5:L5"/>
    <mergeCell ref="M5:N5"/>
    <mergeCell ref="F43:H43"/>
    <mergeCell ref="C24:H24"/>
    <mergeCell ref="I24:K24"/>
    <mergeCell ref="Q27:R27"/>
    <mergeCell ref="K25:L25"/>
    <mergeCell ref="M25:N25"/>
  </mergeCells>
  <pageMargins left="0.7" right="0.7" top="0.75" bottom="0.75" header="0" footer="0"/>
  <pageSetup orientation="portrait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100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I14" sqref="I14"/>
    </sheetView>
  </sheetViews>
  <sheetFormatPr defaultColWidth="12.6640625" defaultRowHeight="15" customHeight="1" x14ac:dyDescent="0.3"/>
  <cols>
    <col min="1" max="1" width="8.77734375" customWidth="1"/>
    <col min="2" max="2" width="23.6640625" customWidth="1"/>
    <col min="3" max="3" width="9.6640625" bestFit="1" customWidth="1"/>
    <col min="4" max="4" width="5.33203125" customWidth="1"/>
    <col min="5" max="5" width="6.77734375" customWidth="1"/>
    <col min="6" max="6" width="8.77734375" bestFit="1" customWidth="1"/>
    <col min="7" max="7" width="7.88671875" bestFit="1" customWidth="1"/>
    <col min="8" max="8" width="8.33203125" bestFit="1" customWidth="1"/>
    <col min="9" max="9" width="13.77734375" customWidth="1"/>
    <col min="10" max="10" width="9.88671875" customWidth="1"/>
    <col min="11" max="11" width="6.88671875" bestFit="1" customWidth="1"/>
    <col min="12" max="12" width="6.21875" customWidth="1"/>
    <col min="13" max="13" width="10.5546875" bestFit="1" customWidth="1"/>
    <col min="14" max="14" width="15.77734375" bestFit="1" customWidth="1"/>
    <col min="15" max="15" width="7.33203125" bestFit="1" customWidth="1"/>
    <col min="16" max="16" width="7" customWidth="1"/>
    <col min="17" max="17" width="7.33203125" customWidth="1"/>
    <col min="18" max="18" width="11.33203125" customWidth="1"/>
    <col min="19" max="19" width="17.44140625" bestFit="1" customWidth="1"/>
    <col min="20" max="20" width="14.109375" bestFit="1" customWidth="1"/>
    <col min="21" max="21" width="11.88671875" bestFit="1" customWidth="1"/>
    <col min="22" max="22" width="14.109375" bestFit="1" customWidth="1"/>
    <col min="23" max="23" width="12" customWidth="1"/>
    <col min="24" max="24" width="14.21875" customWidth="1"/>
  </cols>
  <sheetData>
    <row r="1" spans="1:24" ht="15.75" customHeight="1" x14ac:dyDescent="0.3">
      <c r="A1" s="3"/>
      <c r="B1" s="208"/>
      <c r="E1" s="28"/>
      <c r="F1" s="28"/>
      <c r="G1" s="28"/>
      <c r="N1">
        <v>36</v>
      </c>
      <c r="P1" s="3"/>
      <c r="T1" s="28"/>
      <c r="U1" s="28"/>
      <c r="V1" s="209"/>
    </row>
    <row r="2" spans="1:24" ht="14.4" x14ac:dyDescent="0.3">
      <c r="A2" s="3"/>
      <c r="B2" s="208"/>
      <c r="C2" s="2"/>
      <c r="D2" s="3"/>
      <c r="E2" s="28"/>
      <c r="F2" s="28"/>
      <c r="G2" s="28"/>
      <c r="H2" s="3"/>
      <c r="I2" s="3"/>
      <c r="J2" s="3"/>
      <c r="K2" s="3"/>
      <c r="L2" s="3"/>
      <c r="M2" s="3"/>
      <c r="N2" s="3"/>
      <c r="O2" s="3"/>
      <c r="P2" s="3"/>
      <c r="Q2" s="3"/>
      <c r="R2" s="357" t="s">
        <v>130</v>
      </c>
      <c r="S2" s="358"/>
      <c r="T2" s="210" t="s">
        <v>19</v>
      </c>
      <c r="U2" s="174"/>
      <c r="V2" s="3"/>
      <c r="W2" s="3"/>
      <c r="X2" s="3"/>
    </row>
    <row r="3" spans="1:24" ht="14.4" x14ac:dyDescent="0.3">
      <c r="A3" s="3"/>
      <c r="B3" s="211"/>
      <c r="C3" s="212"/>
      <c r="D3" s="3"/>
      <c r="E3" s="28"/>
      <c r="F3" s="361" t="s">
        <v>131</v>
      </c>
      <c r="G3" s="349"/>
      <c r="H3" s="349"/>
      <c r="I3" s="349"/>
      <c r="J3" s="349"/>
      <c r="K3" s="349"/>
      <c r="L3" s="349"/>
      <c r="M3" s="349"/>
      <c r="N3" s="349"/>
      <c r="O3" s="349"/>
      <c r="P3" s="3"/>
      <c r="Q3" s="3"/>
      <c r="R3" s="214">
        <v>18</v>
      </c>
      <c r="S3" s="215" t="s">
        <v>98</v>
      </c>
      <c r="T3" s="108">
        <v>122.1</v>
      </c>
      <c r="U3" s="216"/>
      <c r="V3" s="3"/>
      <c r="W3" s="3"/>
      <c r="X3" s="3"/>
    </row>
    <row r="4" spans="1:24" ht="14.4" x14ac:dyDescent="0.3">
      <c r="A4" s="3"/>
      <c r="B4" s="208"/>
      <c r="C4" s="3"/>
      <c r="D4" s="3"/>
      <c r="E4" s="28"/>
      <c r="F4" s="28"/>
      <c r="G4" s="28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28"/>
      <c r="U4" s="28"/>
      <c r="V4" s="3"/>
      <c r="W4" s="3"/>
      <c r="X4" s="3"/>
    </row>
    <row r="5" spans="1:24" ht="15.6" x14ac:dyDescent="0.3">
      <c r="A5" s="3"/>
      <c r="B5" s="217"/>
      <c r="C5" s="140"/>
      <c r="D5" s="141"/>
      <c r="E5" s="142"/>
      <c r="F5" s="218" t="s">
        <v>132</v>
      </c>
      <c r="G5" s="219">
        <v>1.6</v>
      </c>
      <c r="H5" s="141"/>
      <c r="I5" s="142" t="s">
        <v>87</v>
      </c>
      <c r="J5" s="141"/>
      <c r="K5" s="356" t="s">
        <v>133</v>
      </c>
      <c r="L5" s="349"/>
      <c r="M5" s="349"/>
      <c r="N5" s="349"/>
      <c r="O5" s="349"/>
      <c r="P5" s="220"/>
      <c r="Q5" s="359" t="s">
        <v>134</v>
      </c>
      <c r="R5" s="360"/>
      <c r="S5" s="360"/>
      <c r="T5" s="356" t="s">
        <v>135</v>
      </c>
      <c r="U5" s="350"/>
      <c r="V5" s="174"/>
      <c r="W5" s="3"/>
      <c r="X5" s="3"/>
    </row>
    <row r="6" spans="1:24" ht="14.4" x14ac:dyDescent="0.3">
      <c r="A6" s="3"/>
      <c r="B6" s="222" t="s">
        <v>136</v>
      </c>
      <c r="C6" s="223" t="s">
        <v>95</v>
      </c>
      <c r="D6" s="224" t="s">
        <v>96</v>
      </c>
      <c r="E6" s="146" t="s">
        <v>97</v>
      </c>
      <c r="F6" s="225" t="s">
        <v>137</v>
      </c>
      <c r="G6" s="225" t="s">
        <v>138</v>
      </c>
      <c r="H6" s="224" t="s">
        <v>98</v>
      </c>
      <c r="I6" s="146" t="s">
        <v>67</v>
      </c>
      <c r="J6" s="146" t="s">
        <v>99</v>
      </c>
      <c r="K6" s="226" t="s">
        <v>139</v>
      </c>
      <c r="L6" s="227" t="s">
        <v>140</v>
      </c>
      <c r="M6" s="144" t="s">
        <v>141</v>
      </c>
      <c r="N6" s="228" t="s">
        <v>142</v>
      </c>
      <c r="O6" s="190" t="s">
        <v>143</v>
      </c>
      <c r="P6" s="227" t="s">
        <v>1</v>
      </c>
      <c r="Q6" s="143" t="s">
        <v>98</v>
      </c>
      <c r="R6" s="229" t="s">
        <v>144</v>
      </c>
      <c r="S6" s="149" t="s">
        <v>99</v>
      </c>
      <c r="T6" s="230" t="s">
        <v>145</v>
      </c>
      <c r="U6" s="231" t="s">
        <v>146</v>
      </c>
      <c r="V6" s="227" t="s">
        <v>147</v>
      </c>
      <c r="W6" s="3"/>
      <c r="X6" s="3"/>
    </row>
    <row r="7" spans="1:24" ht="14.4" x14ac:dyDescent="0.3">
      <c r="A7" s="150"/>
      <c r="B7" s="47" t="s">
        <v>148</v>
      </c>
      <c r="C7" s="232">
        <v>45886</v>
      </c>
      <c r="D7" s="152">
        <v>0</v>
      </c>
      <c r="E7" s="371">
        <v>1.4999999999999999E-2</v>
      </c>
      <c r="F7" s="153"/>
      <c r="G7" s="49">
        <v>100</v>
      </c>
      <c r="H7" s="154">
        <v>18</v>
      </c>
      <c r="I7" s="159">
        <v>329.66999999999996</v>
      </c>
      <c r="J7" s="153">
        <v>2.6999999999999997</v>
      </c>
      <c r="K7" s="233">
        <v>0.54</v>
      </c>
      <c r="L7" s="234">
        <v>0.2</v>
      </c>
      <c r="M7" s="235">
        <v>461.53800000000001</v>
      </c>
      <c r="N7" s="235">
        <v>374</v>
      </c>
      <c r="O7" s="156"/>
      <c r="P7" s="157"/>
      <c r="Q7" s="236"/>
      <c r="R7" s="233"/>
      <c r="S7" s="156"/>
      <c r="T7" s="236"/>
      <c r="U7" s="237"/>
      <c r="V7" s="238"/>
      <c r="W7" s="3"/>
      <c r="X7" s="3"/>
    </row>
    <row r="8" spans="1:24" ht="14.4" x14ac:dyDescent="0.3">
      <c r="A8" s="150"/>
      <c r="B8" s="239" t="s">
        <v>148</v>
      </c>
      <c r="C8" s="240">
        <v>45893</v>
      </c>
      <c r="D8" s="163">
        <v>7</v>
      </c>
      <c r="E8" s="164">
        <v>0.6</v>
      </c>
      <c r="F8" s="164">
        <v>0.58499999999999996</v>
      </c>
      <c r="G8" s="63">
        <v>98.4</v>
      </c>
      <c r="H8" s="165">
        <v>17.712</v>
      </c>
      <c r="I8" s="170">
        <v>12975.8112</v>
      </c>
      <c r="J8" s="164">
        <v>106.27200000000001</v>
      </c>
      <c r="K8" s="241">
        <v>10.6272</v>
      </c>
      <c r="L8" s="242">
        <v>0.1</v>
      </c>
      <c r="M8" s="243">
        <v>9083.0678399999997</v>
      </c>
      <c r="N8" s="243">
        <v>9544.6058400000002</v>
      </c>
      <c r="O8" s="244">
        <v>0.73556910569105693</v>
      </c>
      <c r="P8" s="168"/>
      <c r="Q8" s="245"/>
      <c r="R8" s="241"/>
      <c r="S8" s="244"/>
      <c r="T8" s="245"/>
      <c r="U8" s="246"/>
      <c r="V8" s="247"/>
      <c r="W8" s="3"/>
      <c r="X8" s="3"/>
    </row>
    <row r="9" spans="1:24" ht="14.4" x14ac:dyDescent="0.3">
      <c r="A9" s="150"/>
      <c r="B9" s="239" t="s">
        <v>148</v>
      </c>
      <c r="C9" s="240">
        <v>45900</v>
      </c>
      <c r="D9" s="163">
        <v>14</v>
      </c>
      <c r="E9" s="164">
        <v>1</v>
      </c>
      <c r="F9" s="164">
        <v>0.4</v>
      </c>
      <c r="G9" s="63">
        <v>96.800000000000011</v>
      </c>
      <c r="H9" s="165">
        <v>17.423999999999999</v>
      </c>
      <c r="I9" s="170">
        <v>21274.703999999998</v>
      </c>
      <c r="J9" s="164">
        <v>174.23999999999998</v>
      </c>
      <c r="K9" s="241">
        <v>13.939199999999998</v>
      </c>
      <c r="L9" s="242">
        <v>0.08</v>
      </c>
      <c r="M9" s="243">
        <v>11913.834239999998</v>
      </c>
      <c r="N9" s="243">
        <v>21458.44008</v>
      </c>
      <c r="O9" s="244">
        <v>1.0086363636363638</v>
      </c>
      <c r="P9" s="168"/>
      <c r="Q9" s="245"/>
      <c r="R9" s="241"/>
      <c r="S9" s="244"/>
      <c r="T9" s="245"/>
      <c r="U9" s="246"/>
      <c r="V9" s="247"/>
      <c r="W9" s="3"/>
      <c r="X9" s="3"/>
    </row>
    <row r="10" spans="1:24" ht="14.4" x14ac:dyDescent="0.3">
      <c r="A10" s="150"/>
      <c r="B10" s="239" t="s">
        <v>149</v>
      </c>
      <c r="C10" s="240">
        <v>45907</v>
      </c>
      <c r="D10" s="163">
        <v>21</v>
      </c>
      <c r="E10" s="164">
        <v>1.5</v>
      </c>
      <c r="F10" s="164">
        <v>0.5</v>
      </c>
      <c r="G10" s="63">
        <v>95.200000000000017</v>
      </c>
      <c r="H10" s="165">
        <v>17.136000000000003</v>
      </c>
      <c r="I10" s="170">
        <v>31384.584000000003</v>
      </c>
      <c r="J10" s="164">
        <v>257.04000000000002</v>
      </c>
      <c r="K10" s="241">
        <v>14.908320000000002</v>
      </c>
      <c r="L10" s="242">
        <v>5.8000000000000003E-2</v>
      </c>
      <c r="M10" s="243">
        <v>12742.141104</v>
      </c>
      <c r="N10" s="243">
        <v>34200.581184000002</v>
      </c>
      <c r="O10" s="244">
        <v>1.0897254901960785</v>
      </c>
      <c r="P10" s="168"/>
      <c r="Q10" s="245"/>
      <c r="R10" s="241"/>
      <c r="S10" s="244"/>
      <c r="T10" s="245"/>
      <c r="U10" s="246"/>
      <c r="V10" s="247"/>
      <c r="W10" s="3"/>
      <c r="X10" s="3"/>
    </row>
    <row r="11" spans="1:24" ht="14.4" x14ac:dyDescent="0.3">
      <c r="A11" s="3"/>
      <c r="B11" s="239" t="s">
        <v>149</v>
      </c>
      <c r="C11" s="240">
        <v>45914</v>
      </c>
      <c r="D11" s="163">
        <v>28</v>
      </c>
      <c r="E11" s="164">
        <v>2.5</v>
      </c>
      <c r="F11" s="164">
        <v>1</v>
      </c>
      <c r="G11" s="63">
        <v>93.600000000000023</v>
      </c>
      <c r="H11" s="165">
        <v>16.848000000000003</v>
      </c>
      <c r="I11" s="170">
        <v>51428.52</v>
      </c>
      <c r="J11" s="164">
        <v>421.2</v>
      </c>
      <c r="K11" s="241">
        <v>16.848000000000003</v>
      </c>
      <c r="L11" s="242">
        <v>0.04</v>
      </c>
      <c r="M11" s="243">
        <v>14399.9856</v>
      </c>
      <c r="N11" s="243">
        <v>48600.566784000002</v>
      </c>
      <c r="O11" s="244">
        <v>0.94501196581196589</v>
      </c>
      <c r="P11" s="168"/>
      <c r="Q11" s="245"/>
      <c r="R11" s="241"/>
      <c r="S11" s="244"/>
      <c r="T11" s="245"/>
      <c r="U11" s="246"/>
      <c r="V11" s="247"/>
      <c r="W11" s="3"/>
      <c r="X11" s="3"/>
    </row>
    <row r="12" spans="1:24" ht="14.4" x14ac:dyDescent="0.3">
      <c r="A12" s="3"/>
      <c r="B12" s="248" t="s">
        <v>150</v>
      </c>
      <c r="C12" s="240">
        <v>45921</v>
      </c>
      <c r="D12" s="163">
        <v>35</v>
      </c>
      <c r="E12" s="164">
        <v>3.6</v>
      </c>
      <c r="F12" s="164">
        <v>1.1000000000000001</v>
      </c>
      <c r="G12" s="63">
        <v>92.000000000000028</v>
      </c>
      <c r="H12" s="165">
        <v>16.560000000000006</v>
      </c>
      <c r="I12" s="170">
        <v>72791.136000000028</v>
      </c>
      <c r="J12" s="164">
        <v>596.16000000000031</v>
      </c>
      <c r="K12" s="241">
        <v>23.84640000000001</v>
      </c>
      <c r="L12" s="242">
        <v>0.04</v>
      </c>
      <c r="M12" s="243">
        <v>20381.518080000009</v>
      </c>
      <c r="N12" s="243">
        <v>68982.084864000004</v>
      </c>
      <c r="O12" s="244">
        <v>0.94767149758454072</v>
      </c>
      <c r="P12" s="168"/>
      <c r="Q12" s="245"/>
      <c r="R12" s="241"/>
      <c r="S12" s="244"/>
      <c r="T12" s="245"/>
      <c r="U12" s="246"/>
      <c r="V12" s="247"/>
      <c r="W12" s="3"/>
      <c r="X12" s="3"/>
    </row>
    <row r="13" spans="1:24" ht="14.4" x14ac:dyDescent="0.3">
      <c r="A13" s="3"/>
      <c r="B13" s="248" t="s">
        <v>151</v>
      </c>
      <c r="C13" s="240">
        <v>45928</v>
      </c>
      <c r="D13" s="163">
        <v>42</v>
      </c>
      <c r="E13" s="164">
        <v>4.9000000000000004</v>
      </c>
      <c r="F13" s="164">
        <v>1.3</v>
      </c>
      <c r="G13" s="63">
        <v>90.400000000000034</v>
      </c>
      <c r="H13" s="165">
        <v>16.272000000000006</v>
      </c>
      <c r="I13" s="170">
        <v>97353.748800000045</v>
      </c>
      <c r="J13" s="164">
        <v>797.32800000000043</v>
      </c>
      <c r="K13" s="241">
        <v>30.298464000000017</v>
      </c>
      <c r="L13" s="242">
        <v>3.7999999999999999E-2</v>
      </c>
      <c r="M13" s="243">
        <v>25896.09718080001</v>
      </c>
      <c r="N13" s="243">
        <v>94878.182044800022</v>
      </c>
      <c r="O13" s="244">
        <v>0.97457142857142831</v>
      </c>
      <c r="P13" s="168"/>
      <c r="Q13" s="245"/>
      <c r="R13" s="241"/>
      <c r="S13" s="244"/>
      <c r="T13" s="245"/>
      <c r="U13" s="246"/>
      <c r="V13" s="247"/>
      <c r="W13" s="3"/>
      <c r="X13" s="3"/>
    </row>
    <row r="14" spans="1:24" ht="14.4" x14ac:dyDescent="0.3">
      <c r="A14" s="150"/>
      <c r="B14" s="248" t="s">
        <v>151</v>
      </c>
      <c r="C14" s="240">
        <v>45935</v>
      </c>
      <c r="D14" s="163">
        <v>49</v>
      </c>
      <c r="E14" s="164">
        <v>6.2</v>
      </c>
      <c r="F14" s="164">
        <v>1.3</v>
      </c>
      <c r="G14" s="63">
        <v>88.80000000000004</v>
      </c>
      <c r="H14" s="165">
        <v>15.984000000000007</v>
      </c>
      <c r="I14" s="170">
        <v>121002.07680000005</v>
      </c>
      <c r="J14" s="164">
        <v>991.00800000000049</v>
      </c>
      <c r="K14" s="241">
        <v>37.658304000000022</v>
      </c>
      <c r="L14" s="242">
        <v>3.7999999999999999E-2</v>
      </c>
      <c r="M14" s="243">
        <v>32186.552428800016</v>
      </c>
      <c r="N14" s="243">
        <v>127064.73447360004</v>
      </c>
      <c r="O14" s="244">
        <v>1.0501037489102003</v>
      </c>
      <c r="P14" s="168"/>
      <c r="Q14" s="245"/>
      <c r="R14" s="241"/>
      <c r="S14" s="244"/>
      <c r="T14" s="245"/>
      <c r="U14" s="246"/>
      <c r="V14" s="247"/>
      <c r="W14" s="3"/>
      <c r="X14" s="3"/>
    </row>
    <row r="15" spans="1:24" ht="14.4" x14ac:dyDescent="0.3">
      <c r="A15" s="3"/>
      <c r="B15" s="248" t="s">
        <v>151</v>
      </c>
      <c r="C15" s="240">
        <v>45942</v>
      </c>
      <c r="D15" s="163">
        <v>56</v>
      </c>
      <c r="E15" s="164">
        <v>7.5</v>
      </c>
      <c r="F15" s="164">
        <v>1.3</v>
      </c>
      <c r="G15" s="63">
        <v>87.200000000000045</v>
      </c>
      <c r="H15" s="165">
        <v>15.696000000000009</v>
      </c>
      <c r="I15" s="170">
        <v>143736.12000000008</v>
      </c>
      <c r="J15" s="164">
        <v>1177.2000000000007</v>
      </c>
      <c r="K15" s="241">
        <v>44.733600000000024</v>
      </c>
      <c r="L15" s="242">
        <v>3.7999999999999999E-2</v>
      </c>
      <c r="M15" s="243">
        <v>38233.807920000021</v>
      </c>
      <c r="N15" s="243">
        <v>165298.54239360004</v>
      </c>
      <c r="O15" s="244">
        <v>1.150013944954128</v>
      </c>
      <c r="P15" s="168"/>
      <c r="Q15" s="245"/>
      <c r="R15" s="241"/>
      <c r="S15" s="244"/>
      <c r="T15" s="245"/>
      <c r="U15" s="246"/>
      <c r="V15" s="247"/>
      <c r="W15" s="3"/>
      <c r="X15" s="3"/>
    </row>
    <row r="16" spans="1:24" ht="14.4" x14ac:dyDescent="0.3">
      <c r="A16" s="3"/>
      <c r="B16" s="248" t="s">
        <v>151</v>
      </c>
      <c r="C16" s="240">
        <v>45949</v>
      </c>
      <c r="D16" s="163">
        <v>63</v>
      </c>
      <c r="E16" s="164">
        <v>8.8000000000000007</v>
      </c>
      <c r="F16" s="164">
        <v>1.3</v>
      </c>
      <c r="G16" s="63">
        <v>85.600000000000051</v>
      </c>
      <c r="H16" s="165">
        <v>15.408000000000008</v>
      </c>
      <c r="I16" s="170">
        <v>165555.87840000007</v>
      </c>
      <c r="J16" s="164">
        <v>1355.904</v>
      </c>
      <c r="K16" s="241">
        <v>51.524352000000029</v>
      </c>
      <c r="L16" s="242">
        <v>3.7999999999999999E-2</v>
      </c>
      <c r="M16" s="243">
        <v>44037.863654400018</v>
      </c>
      <c r="N16" s="243">
        <v>209336.40604800006</v>
      </c>
      <c r="O16" s="244">
        <v>1.2644456244689888</v>
      </c>
      <c r="P16" s="168"/>
      <c r="Q16" s="245"/>
      <c r="R16" s="241">
        <v>0</v>
      </c>
      <c r="S16" s="244">
        <v>0</v>
      </c>
      <c r="T16" s="245">
        <v>0</v>
      </c>
      <c r="U16" s="246">
        <v>0</v>
      </c>
      <c r="V16" s="247"/>
      <c r="W16" s="3"/>
      <c r="X16" s="3"/>
    </row>
    <row r="17" spans="1:24" ht="14.4" x14ac:dyDescent="0.3">
      <c r="A17" s="3"/>
      <c r="B17" s="248" t="s">
        <v>151</v>
      </c>
      <c r="C17" s="240">
        <v>45956</v>
      </c>
      <c r="D17" s="163">
        <v>70</v>
      </c>
      <c r="E17" s="164">
        <v>10.100000000000001</v>
      </c>
      <c r="F17" s="164">
        <v>1.3</v>
      </c>
      <c r="G17" s="63">
        <v>84.000000000000057</v>
      </c>
      <c r="H17" s="165">
        <v>12.62000000000001</v>
      </c>
      <c r="I17" s="170">
        <v>155631.10200000013</v>
      </c>
      <c r="J17" s="164">
        <v>1274.620000000001</v>
      </c>
      <c r="K17" s="241">
        <v>48.435560000000038</v>
      </c>
      <c r="L17" s="242">
        <v>3.7999999999999999E-2</v>
      </c>
      <c r="M17" s="243">
        <v>41397.87313200003</v>
      </c>
      <c r="N17" s="243">
        <v>250734.2791800001</v>
      </c>
      <c r="O17" s="244">
        <v>1.3446983865053168</v>
      </c>
      <c r="P17" s="168">
        <v>10.100000000000001</v>
      </c>
      <c r="Q17" s="245">
        <v>2.5</v>
      </c>
      <c r="R17" s="241">
        <v>30830.25</v>
      </c>
      <c r="S17" s="244">
        <v>252.5</v>
      </c>
      <c r="T17" s="245">
        <v>2.5</v>
      </c>
      <c r="U17" s="246">
        <v>30830.25</v>
      </c>
      <c r="V17" s="247">
        <v>1914558.5250000001</v>
      </c>
      <c r="W17" s="3"/>
      <c r="X17" s="209"/>
    </row>
    <row r="18" spans="1:24" ht="14.4" x14ac:dyDescent="0.3">
      <c r="A18" s="3"/>
      <c r="B18" s="248" t="s">
        <v>151</v>
      </c>
      <c r="C18" s="240">
        <v>45963</v>
      </c>
      <c r="D18" s="163">
        <v>77</v>
      </c>
      <c r="E18" s="164">
        <v>11.400000000000002</v>
      </c>
      <c r="F18" s="164">
        <v>1.3</v>
      </c>
      <c r="G18" s="63">
        <v>82.400000000000063</v>
      </c>
      <c r="H18" s="165">
        <v>12.332000000000011</v>
      </c>
      <c r="I18" s="170">
        <v>171654.04080000019</v>
      </c>
      <c r="J18" s="164">
        <v>1405.8480000000015</v>
      </c>
      <c r="K18" s="241">
        <v>49.20468000000006</v>
      </c>
      <c r="L18" s="242">
        <v>3.5000000000000003E-2</v>
      </c>
      <c r="M18" s="243">
        <v>42055.239996000048</v>
      </c>
      <c r="N18" s="243">
        <v>292789.51917600015</v>
      </c>
      <c r="O18" s="244">
        <v>1.4459863430353574</v>
      </c>
      <c r="P18" s="168"/>
      <c r="Q18" s="245"/>
      <c r="R18" s="241"/>
      <c r="S18" s="244"/>
      <c r="T18" s="245">
        <v>2.5</v>
      </c>
      <c r="U18" s="246">
        <v>30830.25</v>
      </c>
      <c r="V18" s="247"/>
      <c r="W18" s="3"/>
      <c r="X18" s="3"/>
    </row>
    <row r="19" spans="1:24" ht="14.4" x14ac:dyDescent="0.3">
      <c r="A19" s="3"/>
      <c r="B19" s="248" t="s">
        <v>151</v>
      </c>
      <c r="C19" s="240">
        <v>45970</v>
      </c>
      <c r="D19" s="163">
        <v>84</v>
      </c>
      <c r="E19" s="164">
        <v>12.800000000000002</v>
      </c>
      <c r="F19" s="164">
        <v>1.4</v>
      </c>
      <c r="G19" s="63">
        <v>80.800000000000068</v>
      </c>
      <c r="H19" s="165">
        <v>10.044000000000013</v>
      </c>
      <c r="I19" s="170">
        <v>156975.66720000023</v>
      </c>
      <c r="J19" s="164">
        <v>1285.6320000000019</v>
      </c>
      <c r="K19" s="241">
        <v>44.997120000000074</v>
      </c>
      <c r="L19" s="242">
        <v>3.5000000000000003E-2</v>
      </c>
      <c r="M19" s="243">
        <v>38459.038464000056</v>
      </c>
      <c r="N19" s="243">
        <v>331248.55764000019</v>
      </c>
      <c r="O19" s="244">
        <v>1.5121119293340728</v>
      </c>
      <c r="P19" s="168">
        <v>12.800000000000002</v>
      </c>
      <c r="Q19" s="245">
        <v>2</v>
      </c>
      <c r="R19" s="241">
        <v>31257.600000000006</v>
      </c>
      <c r="S19" s="244">
        <v>256.00000000000006</v>
      </c>
      <c r="T19" s="245">
        <v>4.5</v>
      </c>
      <c r="U19" s="246">
        <v>62087.850000000006</v>
      </c>
      <c r="V19" s="247">
        <v>2119265.2800000003</v>
      </c>
      <c r="W19" s="3"/>
      <c r="X19" s="3"/>
    </row>
    <row r="20" spans="1:24" ht="14.4" x14ac:dyDescent="0.3">
      <c r="A20" s="3"/>
      <c r="B20" s="248" t="s">
        <v>151</v>
      </c>
      <c r="C20" s="249">
        <v>45977</v>
      </c>
      <c r="D20" s="250">
        <v>91</v>
      </c>
      <c r="E20" s="251">
        <v>14.200000000000003</v>
      </c>
      <c r="F20" s="164">
        <v>1.4</v>
      </c>
      <c r="G20" s="252">
        <v>78</v>
      </c>
      <c r="H20" s="165">
        <v>9.5399999999999991</v>
      </c>
      <c r="I20" s="253">
        <v>165406.42800000001</v>
      </c>
      <c r="J20" s="251">
        <v>1354.6800000000003</v>
      </c>
      <c r="K20" s="254">
        <v>47.413800000000009</v>
      </c>
      <c r="L20" s="242">
        <v>3.5000000000000003E-2</v>
      </c>
      <c r="M20" s="255">
        <v>40524.574860000008</v>
      </c>
      <c r="N20" s="255">
        <v>371773.13250000018</v>
      </c>
      <c r="O20" s="256">
        <v>1.634208718427635</v>
      </c>
      <c r="P20" s="257"/>
      <c r="Q20" s="245"/>
      <c r="R20" s="241"/>
      <c r="S20" s="244"/>
      <c r="T20" s="245">
        <v>4.5</v>
      </c>
      <c r="U20" s="246">
        <v>62087.850000000006</v>
      </c>
      <c r="V20" s="247"/>
      <c r="W20" s="3"/>
      <c r="X20" s="28"/>
    </row>
    <row r="21" spans="1:24" ht="15.75" customHeight="1" x14ac:dyDescent="0.3">
      <c r="A21" s="3"/>
      <c r="B21" s="258" t="s">
        <v>151</v>
      </c>
      <c r="C21" s="259">
        <v>45984</v>
      </c>
      <c r="D21" s="260">
        <v>98</v>
      </c>
      <c r="E21" s="180">
        <v>15.600000000000003</v>
      </c>
      <c r="F21" s="164">
        <v>1.4</v>
      </c>
      <c r="G21" s="75">
        <v>78</v>
      </c>
      <c r="H21" s="181">
        <v>0</v>
      </c>
      <c r="I21" s="186">
        <v>0</v>
      </c>
      <c r="J21" s="180">
        <v>0</v>
      </c>
      <c r="K21" s="261">
        <v>47.413800000000009</v>
      </c>
      <c r="L21" s="242">
        <v>3.5000000000000003E-2</v>
      </c>
      <c r="M21" s="262">
        <v>40524.574860000008</v>
      </c>
      <c r="N21" s="262">
        <v>412297.70736000017</v>
      </c>
      <c r="O21" s="263">
        <v>1.6911173212336115</v>
      </c>
      <c r="P21" s="184">
        <v>15.600000000000003</v>
      </c>
      <c r="Q21" s="264">
        <v>9.5399999999999991</v>
      </c>
      <c r="R21" s="261">
        <v>181714.10399999999</v>
      </c>
      <c r="S21" s="263">
        <v>1488.24</v>
      </c>
      <c r="T21" s="265">
        <v>14.04</v>
      </c>
      <c r="U21" s="266">
        <v>243801.954</v>
      </c>
      <c r="V21" s="267">
        <v>13737586.262400001</v>
      </c>
      <c r="W21" s="3"/>
      <c r="X21" s="3"/>
    </row>
    <row r="22" spans="1:24" ht="15.75" customHeight="1" x14ac:dyDescent="0.3">
      <c r="A22" s="3"/>
      <c r="B22" s="268"/>
      <c r="C22" s="269"/>
      <c r="D22" s="4"/>
      <c r="E22" s="28"/>
      <c r="F22" s="28"/>
      <c r="G22" s="28"/>
      <c r="H22" s="28"/>
      <c r="I22" s="28"/>
      <c r="J22" s="28"/>
      <c r="K22" s="209"/>
      <c r="L22" s="270"/>
      <c r="M22" s="271"/>
      <c r="N22" s="271"/>
      <c r="O22" s="209"/>
      <c r="P22" s="272"/>
      <c r="Q22" s="273">
        <v>14.04</v>
      </c>
      <c r="R22" s="274">
        <v>243801.954</v>
      </c>
      <c r="S22" s="274">
        <v>1996.74</v>
      </c>
      <c r="T22" s="209"/>
      <c r="U22" s="209"/>
      <c r="V22" s="272">
        <v>17771410.067400001</v>
      </c>
      <c r="W22" s="28"/>
      <c r="X22" s="28"/>
    </row>
    <row r="23" spans="1:24" ht="15.75" customHeight="1" x14ac:dyDescent="0.3">
      <c r="A23" s="3"/>
      <c r="B23" s="208"/>
      <c r="C23" s="3"/>
      <c r="D23" s="3"/>
      <c r="E23" s="366"/>
      <c r="F23" s="347"/>
      <c r="G23" s="347"/>
      <c r="N23" s="72"/>
      <c r="O23" s="72"/>
      <c r="P23" s="72"/>
      <c r="Q23" s="72"/>
      <c r="R23" s="72"/>
      <c r="S23" s="3"/>
      <c r="T23" s="28"/>
      <c r="U23" s="275" t="s">
        <v>129</v>
      </c>
      <c r="X23" s="28"/>
    </row>
    <row r="24" spans="1:24" ht="15.75" customHeight="1" x14ac:dyDescent="0.3">
      <c r="A24" s="3"/>
      <c r="B24" s="208"/>
      <c r="C24" s="3"/>
      <c r="D24" s="3"/>
      <c r="E24" s="72"/>
      <c r="F24" s="174"/>
      <c r="G24" s="174"/>
      <c r="H24" s="3"/>
      <c r="N24" s="354" t="s">
        <v>152</v>
      </c>
      <c r="O24" s="349"/>
      <c r="P24" s="349"/>
      <c r="Q24" s="350"/>
      <c r="R24" s="3"/>
      <c r="S24" s="276" t="s">
        <v>153</v>
      </c>
      <c r="T24" s="277">
        <v>412297.70736000017</v>
      </c>
      <c r="U24" s="277">
        <f>+T24/T3</f>
        <v>3376.7216000000017</v>
      </c>
    </row>
    <row r="25" spans="1:24" ht="15.75" customHeight="1" x14ac:dyDescent="0.3">
      <c r="A25" s="3"/>
      <c r="B25" s="208"/>
      <c r="C25" s="3"/>
      <c r="D25" s="3"/>
      <c r="E25" s="3"/>
      <c r="F25" s="28"/>
      <c r="G25" s="4"/>
      <c r="H25" s="28"/>
      <c r="N25" s="278"/>
      <c r="O25" s="137" t="s">
        <v>154</v>
      </c>
      <c r="P25" s="357" t="s">
        <v>155</v>
      </c>
      <c r="Q25" s="358"/>
      <c r="R25" s="3"/>
      <c r="S25" s="279" t="s">
        <v>143</v>
      </c>
      <c r="T25" s="206">
        <v>1.6911173212336115</v>
      </c>
      <c r="U25" s="206"/>
    </row>
    <row r="26" spans="1:24" ht="15.75" customHeight="1" x14ac:dyDescent="0.3">
      <c r="A26" s="3"/>
      <c r="B26" s="208"/>
      <c r="C26" s="3"/>
      <c r="D26" s="3"/>
      <c r="E26" s="3"/>
      <c r="F26" s="28"/>
      <c r="G26" s="4"/>
      <c r="N26" s="280" t="s">
        <v>156</v>
      </c>
      <c r="O26" s="281">
        <v>10.100000000000001</v>
      </c>
      <c r="P26" s="362">
        <v>30830.25</v>
      </c>
      <c r="Q26" s="363"/>
      <c r="S26" s="276" t="s">
        <v>157</v>
      </c>
      <c r="T26" s="204">
        <v>21</v>
      </c>
      <c r="U26" s="204"/>
    </row>
    <row r="27" spans="1:24" ht="15.75" customHeight="1" x14ac:dyDescent="0.3">
      <c r="A27" s="3"/>
      <c r="B27" s="208"/>
      <c r="C27" s="3"/>
      <c r="D27" s="3"/>
      <c r="E27" s="3"/>
      <c r="F27" s="28"/>
      <c r="G27" s="4"/>
      <c r="N27" s="282" t="s">
        <v>158</v>
      </c>
      <c r="O27" s="283">
        <v>12.800000000000002</v>
      </c>
      <c r="P27" s="362">
        <v>31257.600000000006</v>
      </c>
      <c r="Q27" s="363"/>
      <c r="S27" s="206" t="s">
        <v>159</v>
      </c>
      <c r="T27" s="78">
        <v>4.5999999999999996</v>
      </c>
      <c r="U27" s="78"/>
    </row>
    <row r="28" spans="1:24" ht="15.75" customHeight="1" x14ac:dyDescent="0.3">
      <c r="A28" s="3"/>
      <c r="B28" s="208"/>
      <c r="C28" s="3"/>
      <c r="D28" s="3"/>
      <c r="E28" s="72"/>
      <c r="F28" s="72"/>
      <c r="G28" s="284"/>
      <c r="N28" s="285" t="s">
        <v>160</v>
      </c>
      <c r="O28" s="286">
        <v>15.600000000000003</v>
      </c>
      <c r="P28" s="362">
        <v>181714.10399999999</v>
      </c>
      <c r="Q28" s="363"/>
      <c r="S28" s="206" t="s">
        <v>161</v>
      </c>
      <c r="T28" s="206">
        <v>8658251.8545600045</v>
      </c>
      <c r="U28" s="206">
        <v>70911.153600000034</v>
      </c>
    </row>
    <row r="29" spans="1:24" ht="15.75" customHeight="1" x14ac:dyDescent="0.3">
      <c r="A29" s="3"/>
      <c r="B29" s="208"/>
      <c r="C29" s="3"/>
      <c r="D29" s="3"/>
      <c r="E29" s="287"/>
      <c r="F29" s="287"/>
      <c r="G29" s="287"/>
      <c r="H29" s="72"/>
      <c r="M29" s="72"/>
      <c r="N29" s="12" t="s">
        <v>67</v>
      </c>
      <c r="O29" s="12"/>
      <c r="P29" s="364">
        <v>243801.954</v>
      </c>
      <c r="Q29" s="365"/>
      <c r="S29" s="206" t="s">
        <v>162</v>
      </c>
      <c r="T29" s="206">
        <v>2021975.9999999998</v>
      </c>
      <c r="U29" s="206">
        <v>16560</v>
      </c>
      <c r="V29" s="28"/>
    </row>
    <row r="30" spans="1:24" ht="15.75" customHeight="1" x14ac:dyDescent="0.3">
      <c r="A30" s="3"/>
      <c r="B30" s="208"/>
      <c r="E30" s="28"/>
      <c r="F30" s="28"/>
      <c r="G30" s="28"/>
      <c r="N30" s="12" t="s">
        <v>129</v>
      </c>
      <c r="O30" s="12"/>
      <c r="P30" s="361">
        <v>1996.74</v>
      </c>
      <c r="Q30" s="350"/>
      <c r="S30" s="206" t="s">
        <v>163</v>
      </c>
      <c r="T30" s="206">
        <v>17771410.067400001</v>
      </c>
      <c r="U30" s="206">
        <v>145547.99400000001</v>
      </c>
      <c r="V30" s="28"/>
    </row>
    <row r="31" spans="1:24" ht="15.75" customHeight="1" x14ac:dyDescent="0.3">
      <c r="A31" s="3"/>
      <c r="B31" s="208"/>
      <c r="E31" s="28"/>
      <c r="F31" s="28"/>
      <c r="G31" s="28"/>
      <c r="P31" s="3"/>
      <c r="S31" s="206" t="s">
        <v>164</v>
      </c>
      <c r="T31" s="206">
        <v>20</v>
      </c>
      <c r="U31" s="206"/>
    </row>
    <row r="32" spans="1:24" ht="15.75" customHeight="1" x14ac:dyDescent="0.3">
      <c r="A32" s="3"/>
      <c r="B32" s="208"/>
      <c r="E32" s="28"/>
      <c r="F32" s="28"/>
      <c r="G32" s="28"/>
      <c r="P32" s="3"/>
      <c r="T32" s="28"/>
      <c r="U32" s="28"/>
    </row>
    <row r="33" spans="1:22" ht="15.75" customHeight="1" x14ac:dyDescent="0.3">
      <c r="A33" s="3"/>
      <c r="B33" s="208"/>
      <c r="E33" s="28"/>
      <c r="F33" s="28"/>
      <c r="G33" s="28"/>
      <c r="P33" s="3"/>
      <c r="T33" s="28"/>
      <c r="U33" s="28"/>
      <c r="V33" s="28"/>
    </row>
    <row r="34" spans="1:22" ht="15.75" customHeight="1" x14ac:dyDescent="0.3">
      <c r="A34" s="3"/>
      <c r="B34" s="208"/>
      <c r="E34" s="28"/>
      <c r="F34" s="28"/>
      <c r="G34" s="28"/>
      <c r="P34" s="3"/>
      <c r="T34" s="28"/>
      <c r="U34" s="28"/>
    </row>
    <row r="35" spans="1:22" ht="15.75" customHeight="1" x14ac:dyDescent="0.3">
      <c r="A35" s="3"/>
      <c r="B35" s="208"/>
      <c r="E35" s="28"/>
      <c r="F35" s="28"/>
      <c r="G35" s="28"/>
      <c r="P35" s="3"/>
      <c r="T35" s="28"/>
      <c r="U35" s="28"/>
    </row>
    <row r="36" spans="1:22" ht="15.75" customHeight="1" x14ac:dyDescent="0.3">
      <c r="A36" s="3"/>
      <c r="B36" s="208"/>
      <c r="E36" s="28"/>
      <c r="F36" s="28"/>
      <c r="G36" s="28"/>
      <c r="P36" s="3"/>
      <c r="T36" s="28"/>
      <c r="U36" s="28"/>
    </row>
    <row r="37" spans="1:22" ht="15.75" customHeight="1" x14ac:dyDescent="0.3">
      <c r="A37" s="3"/>
      <c r="B37" s="208"/>
      <c r="E37" s="28"/>
      <c r="F37" s="28"/>
      <c r="G37" s="28"/>
      <c r="P37" s="3"/>
      <c r="T37" s="28"/>
      <c r="U37" s="28"/>
    </row>
    <row r="38" spans="1:22" ht="15.75" customHeight="1" x14ac:dyDescent="0.3">
      <c r="A38" s="3"/>
      <c r="B38" s="208"/>
      <c r="E38" s="28"/>
      <c r="F38" s="28"/>
      <c r="G38" s="28"/>
      <c r="P38" s="3"/>
      <c r="T38" s="28"/>
      <c r="U38" s="28"/>
    </row>
    <row r="39" spans="1:22" ht="15.75" customHeight="1" x14ac:dyDescent="0.3">
      <c r="A39" s="3"/>
      <c r="B39" s="208"/>
      <c r="E39" s="28"/>
      <c r="F39" s="28"/>
      <c r="G39" s="28"/>
      <c r="P39" s="3"/>
      <c r="T39" s="28"/>
      <c r="U39" s="28"/>
    </row>
    <row r="40" spans="1:22" ht="15.75" customHeight="1" x14ac:dyDescent="0.3">
      <c r="A40" s="3"/>
      <c r="B40" s="208"/>
      <c r="E40" s="28"/>
      <c r="F40" s="28"/>
      <c r="G40" s="28"/>
      <c r="P40" s="3"/>
      <c r="T40" s="28"/>
      <c r="U40" s="28"/>
    </row>
    <row r="41" spans="1:22" ht="15.75" customHeight="1" x14ac:dyDescent="0.3">
      <c r="A41" s="3"/>
      <c r="B41" s="208"/>
      <c r="E41" s="28"/>
      <c r="F41" s="28"/>
      <c r="G41" s="28"/>
      <c r="P41" s="3"/>
      <c r="T41" s="28"/>
      <c r="U41" s="28"/>
    </row>
    <row r="42" spans="1:22" ht="15.75" customHeight="1" x14ac:dyDescent="0.3">
      <c r="A42" s="3"/>
      <c r="B42" s="208"/>
      <c r="E42" s="28"/>
      <c r="F42" s="28"/>
      <c r="G42" s="28"/>
      <c r="P42" s="3"/>
      <c r="T42" s="28"/>
      <c r="U42" s="28"/>
    </row>
    <row r="43" spans="1:22" ht="15.75" customHeight="1" x14ac:dyDescent="0.3">
      <c r="A43" s="3"/>
      <c r="B43" s="208"/>
      <c r="E43" s="28"/>
      <c r="F43" s="28"/>
      <c r="G43" s="28"/>
      <c r="P43" s="3"/>
      <c r="T43" s="28"/>
      <c r="U43" s="28"/>
    </row>
    <row r="44" spans="1:22" ht="15.75" customHeight="1" x14ac:dyDescent="0.3">
      <c r="A44" s="3"/>
      <c r="B44" s="208"/>
      <c r="E44" s="28"/>
      <c r="F44" s="28"/>
      <c r="G44" s="28"/>
      <c r="P44" s="3"/>
      <c r="T44" s="28"/>
      <c r="U44" s="28"/>
    </row>
    <row r="45" spans="1:22" ht="15.75" customHeight="1" x14ac:dyDescent="0.3">
      <c r="A45" s="3"/>
      <c r="B45" s="208"/>
      <c r="E45" s="28"/>
      <c r="F45" s="28"/>
      <c r="G45" s="28"/>
      <c r="P45" s="3"/>
      <c r="T45" s="28"/>
      <c r="U45" s="28"/>
    </row>
    <row r="46" spans="1:22" ht="15.75" customHeight="1" x14ac:dyDescent="0.3">
      <c r="A46" s="3"/>
      <c r="B46" s="208"/>
      <c r="E46" s="28"/>
      <c r="F46" s="28"/>
      <c r="G46" s="28"/>
      <c r="P46" s="3"/>
      <c r="T46" s="28"/>
      <c r="U46" s="28"/>
    </row>
    <row r="47" spans="1:22" ht="15.75" customHeight="1" x14ac:dyDescent="0.3">
      <c r="A47" s="3"/>
      <c r="B47" s="208"/>
      <c r="E47" s="28"/>
      <c r="F47" s="28"/>
      <c r="G47" s="28"/>
      <c r="P47" s="3"/>
      <c r="T47" s="28"/>
      <c r="U47" s="28"/>
    </row>
    <row r="48" spans="1:22" ht="15.75" customHeight="1" x14ac:dyDescent="0.3">
      <c r="P48" s="3"/>
      <c r="U48" s="3"/>
    </row>
    <row r="49" spans="16:21" ht="15.75" customHeight="1" x14ac:dyDescent="0.3">
      <c r="P49" s="3"/>
      <c r="U49" s="3"/>
    </row>
    <row r="50" spans="16:21" ht="15.75" customHeight="1" x14ac:dyDescent="0.3">
      <c r="P50" s="3"/>
      <c r="U50" s="3"/>
    </row>
    <row r="51" spans="16:21" ht="15.75" customHeight="1" x14ac:dyDescent="0.3">
      <c r="P51" s="3"/>
      <c r="U51" s="3"/>
    </row>
    <row r="52" spans="16:21" ht="15.75" customHeight="1" x14ac:dyDescent="0.3">
      <c r="P52" s="3"/>
      <c r="U52" s="3"/>
    </row>
    <row r="53" spans="16:21" ht="15.75" customHeight="1" x14ac:dyDescent="0.3">
      <c r="P53" s="3"/>
      <c r="U53" s="3"/>
    </row>
    <row r="54" spans="16:21" ht="15.75" customHeight="1" x14ac:dyDescent="0.3">
      <c r="P54" s="3"/>
      <c r="U54" s="3"/>
    </row>
    <row r="55" spans="16:21" ht="15.75" customHeight="1" x14ac:dyDescent="0.3">
      <c r="P55" s="3"/>
      <c r="U55" s="3"/>
    </row>
    <row r="56" spans="16:21" ht="15.75" customHeight="1" x14ac:dyDescent="0.3">
      <c r="P56" s="3"/>
      <c r="U56" s="3"/>
    </row>
    <row r="57" spans="16:21" ht="15.75" customHeight="1" x14ac:dyDescent="0.3">
      <c r="P57" s="3"/>
      <c r="U57" s="3"/>
    </row>
    <row r="58" spans="16:21" ht="15.75" customHeight="1" x14ac:dyDescent="0.3">
      <c r="P58" s="3"/>
      <c r="U58" s="3"/>
    </row>
    <row r="59" spans="16:21" ht="15.75" customHeight="1" x14ac:dyDescent="0.3">
      <c r="P59" s="3"/>
      <c r="U59" s="3"/>
    </row>
    <row r="60" spans="16:21" ht="15.75" customHeight="1" x14ac:dyDescent="0.3">
      <c r="P60" s="3"/>
      <c r="U60" s="3"/>
    </row>
    <row r="61" spans="16:21" ht="15.75" customHeight="1" x14ac:dyDescent="0.3">
      <c r="P61" s="3"/>
      <c r="U61" s="3"/>
    </row>
    <row r="62" spans="16:21" ht="15.75" customHeight="1" x14ac:dyDescent="0.3">
      <c r="P62" s="3"/>
      <c r="U62" s="3"/>
    </row>
    <row r="63" spans="16:21" ht="15.75" customHeight="1" x14ac:dyDescent="0.3">
      <c r="P63" s="3"/>
      <c r="U63" s="3"/>
    </row>
    <row r="64" spans="16:21" ht="15.75" customHeight="1" x14ac:dyDescent="0.3">
      <c r="P64" s="3"/>
      <c r="U64" s="3"/>
    </row>
    <row r="65" spans="16:21" ht="15.75" customHeight="1" x14ac:dyDescent="0.3">
      <c r="P65" s="3"/>
      <c r="U65" s="3"/>
    </row>
    <row r="66" spans="16:21" ht="15.75" customHeight="1" x14ac:dyDescent="0.3">
      <c r="P66" s="3"/>
      <c r="U66" s="3"/>
    </row>
    <row r="67" spans="16:21" ht="15.75" customHeight="1" x14ac:dyDescent="0.3">
      <c r="P67" s="3"/>
      <c r="U67" s="3"/>
    </row>
    <row r="68" spans="16:21" ht="15.75" customHeight="1" x14ac:dyDescent="0.3">
      <c r="P68" s="3"/>
      <c r="U68" s="3"/>
    </row>
    <row r="69" spans="16:21" ht="15.75" customHeight="1" x14ac:dyDescent="0.3">
      <c r="P69" s="3"/>
      <c r="U69" s="3"/>
    </row>
    <row r="70" spans="16:21" ht="15.75" customHeight="1" x14ac:dyDescent="0.3">
      <c r="P70" s="3"/>
      <c r="U70" s="3"/>
    </row>
    <row r="71" spans="16:21" ht="15.75" customHeight="1" x14ac:dyDescent="0.3">
      <c r="P71" s="3"/>
      <c r="U71" s="3"/>
    </row>
    <row r="72" spans="16:21" ht="15.75" customHeight="1" x14ac:dyDescent="0.3">
      <c r="P72" s="3"/>
      <c r="U72" s="3"/>
    </row>
    <row r="73" spans="16:21" ht="15.75" customHeight="1" x14ac:dyDescent="0.3">
      <c r="P73" s="3"/>
      <c r="U73" s="3"/>
    </row>
    <row r="74" spans="16:21" ht="15.75" customHeight="1" x14ac:dyDescent="0.3">
      <c r="P74" s="3"/>
      <c r="U74" s="3"/>
    </row>
    <row r="75" spans="16:21" ht="15.75" customHeight="1" x14ac:dyDescent="0.3">
      <c r="P75" s="3"/>
      <c r="U75" s="3"/>
    </row>
    <row r="76" spans="16:21" ht="15.75" customHeight="1" x14ac:dyDescent="0.3">
      <c r="P76" s="3"/>
      <c r="U76" s="3"/>
    </row>
    <row r="77" spans="16:21" ht="15.75" customHeight="1" x14ac:dyDescent="0.3">
      <c r="P77" s="3"/>
      <c r="U77" s="3"/>
    </row>
    <row r="78" spans="16:21" ht="15.75" customHeight="1" x14ac:dyDescent="0.3">
      <c r="P78" s="3"/>
      <c r="U78" s="3"/>
    </row>
    <row r="79" spans="16:21" ht="15.75" customHeight="1" x14ac:dyDescent="0.3">
      <c r="P79" s="3"/>
      <c r="U79" s="3"/>
    </row>
    <row r="80" spans="16:21" ht="15.75" customHeight="1" x14ac:dyDescent="0.3">
      <c r="P80" s="3"/>
      <c r="U80" s="3"/>
    </row>
    <row r="81" spans="16:21" ht="15.75" customHeight="1" x14ac:dyDescent="0.3">
      <c r="P81" s="3"/>
      <c r="U81" s="3"/>
    </row>
    <row r="82" spans="16:21" ht="15.75" customHeight="1" x14ac:dyDescent="0.3">
      <c r="P82" s="3"/>
      <c r="U82" s="3"/>
    </row>
    <row r="83" spans="16:21" ht="15.75" customHeight="1" x14ac:dyDescent="0.3">
      <c r="P83" s="3"/>
      <c r="U83" s="3"/>
    </row>
    <row r="84" spans="16:21" ht="15.75" customHeight="1" x14ac:dyDescent="0.3">
      <c r="P84" s="3"/>
      <c r="U84" s="3"/>
    </row>
    <row r="85" spans="16:21" ht="15.75" customHeight="1" x14ac:dyDescent="0.3">
      <c r="P85" s="3"/>
      <c r="U85" s="3"/>
    </row>
    <row r="86" spans="16:21" ht="15.75" customHeight="1" x14ac:dyDescent="0.3">
      <c r="P86" s="3"/>
      <c r="U86" s="3"/>
    </row>
    <row r="87" spans="16:21" ht="15.75" customHeight="1" x14ac:dyDescent="0.3">
      <c r="P87" s="3"/>
      <c r="U87" s="3"/>
    </row>
    <row r="88" spans="16:21" ht="15.75" customHeight="1" x14ac:dyDescent="0.3">
      <c r="P88" s="3"/>
      <c r="U88" s="3"/>
    </row>
    <row r="89" spans="16:21" ht="15.75" customHeight="1" x14ac:dyDescent="0.3">
      <c r="P89" s="3"/>
      <c r="U89" s="3"/>
    </row>
    <row r="90" spans="16:21" ht="15.75" customHeight="1" x14ac:dyDescent="0.3">
      <c r="P90" s="3"/>
      <c r="U90" s="3"/>
    </row>
    <row r="91" spans="16:21" ht="15.75" customHeight="1" x14ac:dyDescent="0.3">
      <c r="P91" s="3"/>
      <c r="U91" s="3"/>
    </row>
    <row r="92" spans="16:21" ht="15.75" customHeight="1" x14ac:dyDescent="0.3">
      <c r="P92" s="3"/>
      <c r="U92" s="3"/>
    </row>
    <row r="93" spans="16:21" ht="15.75" customHeight="1" x14ac:dyDescent="0.3">
      <c r="P93" s="3"/>
      <c r="U93" s="3"/>
    </row>
    <row r="94" spans="16:21" ht="15.75" customHeight="1" x14ac:dyDescent="0.3">
      <c r="P94" s="3"/>
      <c r="U94" s="3"/>
    </row>
    <row r="95" spans="16:21" ht="15.75" customHeight="1" x14ac:dyDescent="0.3">
      <c r="P95" s="3"/>
      <c r="U95" s="3"/>
    </row>
    <row r="96" spans="16:21" ht="15.75" customHeight="1" x14ac:dyDescent="0.3">
      <c r="P96" s="3"/>
      <c r="U96" s="3"/>
    </row>
    <row r="97" spans="16:21" ht="15.75" customHeight="1" x14ac:dyDescent="0.3">
      <c r="P97" s="3"/>
      <c r="U97" s="3"/>
    </row>
    <row r="98" spans="16:21" ht="15.75" customHeight="1" x14ac:dyDescent="0.3">
      <c r="P98" s="3"/>
      <c r="U98" s="3"/>
    </row>
    <row r="99" spans="16:21" ht="15.75" customHeight="1" x14ac:dyDescent="0.3">
      <c r="P99" s="3"/>
      <c r="U99" s="3"/>
    </row>
    <row r="100" spans="16:21" ht="15.75" customHeight="1" x14ac:dyDescent="0.3">
      <c r="P100" s="3"/>
      <c r="U100" s="3"/>
    </row>
  </sheetData>
  <mergeCells count="13">
    <mergeCell ref="E23:G23"/>
    <mergeCell ref="N24:Q24"/>
    <mergeCell ref="F3:O3"/>
    <mergeCell ref="K5:O5"/>
    <mergeCell ref="T5:U5"/>
    <mergeCell ref="R2:S2"/>
    <mergeCell ref="Q5:S5"/>
    <mergeCell ref="P30:Q30"/>
    <mergeCell ref="P26:Q26"/>
    <mergeCell ref="P27:Q27"/>
    <mergeCell ref="P28:Q28"/>
    <mergeCell ref="P29:Q29"/>
    <mergeCell ref="P25:Q25"/>
  </mergeCells>
  <conditionalFormatting sqref="J7:J21">
    <cfRule type="cellIs" dxfId="0" priority="1" operator="greaterThan">
      <formula>1499</formula>
    </cfRule>
  </conditionalFormatting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100"/>
  <sheetViews>
    <sheetView zoomScale="92" workbookViewId="0">
      <selection activeCell="P12" sqref="P12"/>
    </sheetView>
  </sheetViews>
  <sheetFormatPr defaultColWidth="12.6640625" defaultRowHeight="15" customHeight="1" x14ac:dyDescent="0.3"/>
  <cols>
    <col min="1" max="1" width="9.33203125" customWidth="1"/>
    <col min="2" max="2" width="12.33203125" customWidth="1"/>
    <col min="3" max="3" width="14.21875" customWidth="1"/>
    <col min="4" max="4" width="19.77734375" hidden="1" customWidth="1"/>
    <col min="5" max="5" width="13.88671875" hidden="1" customWidth="1"/>
    <col min="6" max="6" width="12.21875" hidden="1" customWidth="1"/>
    <col min="7" max="7" width="9.33203125" hidden="1" customWidth="1"/>
    <col min="8" max="8" width="6" hidden="1" customWidth="1"/>
    <col min="9" max="9" width="9.88671875" hidden="1" customWidth="1"/>
    <col min="10" max="10" width="21" customWidth="1"/>
    <col min="11" max="11" width="16.21875" bestFit="1" customWidth="1"/>
    <col min="12" max="12" width="10.88671875" bestFit="1" customWidth="1"/>
    <col min="13" max="13" width="9.33203125" customWidth="1"/>
    <col min="14" max="14" width="6" customWidth="1"/>
    <col min="15" max="15" width="20" bestFit="1" customWidth="1"/>
    <col min="16" max="16" width="14.5546875" bestFit="1" customWidth="1"/>
    <col min="17" max="17" width="12.109375" bestFit="1" customWidth="1"/>
    <col min="18" max="18" width="12.21875" bestFit="1" customWidth="1"/>
    <col min="19" max="19" width="7.21875" bestFit="1" customWidth="1"/>
    <col min="20" max="20" width="9.33203125" customWidth="1"/>
    <col min="21" max="21" width="12.33203125" customWidth="1"/>
  </cols>
  <sheetData>
    <row r="1" spans="1:21" ht="14.4" x14ac:dyDescent="0.3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 ht="14.4" x14ac:dyDescent="0.3">
      <c r="D2" s="368" t="s">
        <v>165</v>
      </c>
      <c r="E2" s="369"/>
      <c r="F2" s="369"/>
      <c r="G2" s="369"/>
      <c r="H2" s="369"/>
      <c r="I2" s="369"/>
      <c r="J2" s="369"/>
      <c r="K2" s="369"/>
      <c r="L2" s="369"/>
      <c r="M2" s="369"/>
      <c r="N2" s="369"/>
      <c r="O2" s="369"/>
      <c r="P2" s="369"/>
      <c r="Q2" s="369"/>
      <c r="R2" s="369"/>
      <c r="S2" s="370"/>
    </row>
    <row r="3" spans="1:21" ht="14.4" x14ac:dyDescent="0.3">
      <c r="J3" s="3"/>
      <c r="K3" s="3"/>
      <c r="L3" s="3"/>
      <c r="M3" s="3"/>
      <c r="N3" s="3"/>
    </row>
    <row r="4" spans="1:21" ht="14.4" x14ac:dyDescent="0.3">
      <c r="D4" s="354" t="s">
        <v>166</v>
      </c>
      <c r="E4" s="349"/>
      <c r="F4" s="350"/>
      <c r="G4" s="72"/>
      <c r="J4" s="354" t="s">
        <v>167</v>
      </c>
      <c r="K4" s="349"/>
      <c r="L4" s="350"/>
      <c r="M4" s="72"/>
      <c r="N4" s="3"/>
      <c r="O4" s="354" t="s">
        <v>168</v>
      </c>
      <c r="P4" s="349"/>
      <c r="Q4" s="349"/>
      <c r="R4" s="350"/>
      <c r="S4" s="3"/>
    </row>
    <row r="5" spans="1:21" ht="14.4" x14ac:dyDescent="0.3">
      <c r="D5" s="280" t="s">
        <v>19</v>
      </c>
      <c r="E5" s="154">
        <f>+'PROY GPO ESCOBEDO'!T3</f>
        <v>122.1</v>
      </c>
      <c r="F5" s="288"/>
      <c r="G5" s="3"/>
      <c r="J5" s="280" t="s">
        <v>19</v>
      </c>
      <c r="K5" s="154">
        <f>+E5</f>
        <v>122.1</v>
      </c>
      <c r="L5" s="288"/>
      <c r="M5" s="3"/>
      <c r="N5" s="3"/>
      <c r="O5" s="221" t="s">
        <v>169</v>
      </c>
      <c r="P5" s="224" t="s">
        <v>68</v>
      </c>
      <c r="Q5" s="289" t="s">
        <v>37</v>
      </c>
      <c r="R5" s="224" t="s">
        <v>170</v>
      </c>
      <c r="S5" s="290" t="s">
        <v>171</v>
      </c>
    </row>
    <row r="6" spans="1:21" ht="14.4" x14ac:dyDescent="0.3">
      <c r="D6" s="282" t="s">
        <v>172</v>
      </c>
      <c r="E6" s="165" t="e">
        <f>+'PROY GPO ESCOBEDO'!#REF!</f>
        <v>#REF!</v>
      </c>
      <c r="F6" s="291" t="s">
        <v>98</v>
      </c>
      <c r="J6" s="282" t="s">
        <v>172</v>
      </c>
      <c r="K6" s="165">
        <f>+'PROY GPO ESCOBEDO'!R3</f>
        <v>18</v>
      </c>
      <c r="L6" s="291" t="s">
        <v>98</v>
      </c>
      <c r="M6" s="3"/>
      <c r="N6" s="3"/>
      <c r="O6" s="292" t="s">
        <v>133</v>
      </c>
      <c r="P6" s="153">
        <f>+K24*K20</f>
        <v>8658251.8545600045</v>
      </c>
      <c r="Q6" s="160">
        <f t="shared" ref="Q6:Q12" si="0">+P6/K$5</f>
        <v>70911.153600000034</v>
      </c>
      <c r="R6" s="293">
        <f t="shared" ref="R6:R12" si="1">+P6/P$12</f>
        <v>0.57662990730231345</v>
      </c>
      <c r="S6" s="165">
        <f t="shared" ref="S6:S12" si="2">+P6/K$13</f>
        <v>35.513463745905845</v>
      </c>
    </row>
    <row r="7" spans="1:21" ht="14.4" x14ac:dyDescent="0.3">
      <c r="D7" s="282" t="s">
        <v>173</v>
      </c>
      <c r="E7" s="165">
        <f>'PROY GPO ESCOBEDO'!F25</f>
        <v>0</v>
      </c>
      <c r="F7" s="291" t="s">
        <v>174</v>
      </c>
      <c r="J7" s="282" t="s">
        <v>173</v>
      </c>
      <c r="K7" s="165">
        <f>+'PROY GPO ESCOBEDO'!P17</f>
        <v>10.100000000000001</v>
      </c>
      <c r="L7" s="291" t="s">
        <v>174</v>
      </c>
      <c r="M7" s="3"/>
      <c r="N7" s="3"/>
      <c r="O7" s="131" t="s">
        <v>175</v>
      </c>
      <c r="P7" s="164">
        <f>+K6*10*K5*K21*K25</f>
        <v>2021975.9999999998</v>
      </c>
      <c r="Q7" s="171">
        <f t="shared" si="0"/>
        <v>16560</v>
      </c>
      <c r="R7" s="294">
        <f t="shared" si="1"/>
        <v>0.13466134423352979</v>
      </c>
      <c r="S7" s="165">
        <f t="shared" si="2"/>
        <v>8.2935184350491298</v>
      </c>
    </row>
    <row r="8" spans="1:21" ht="14.4" x14ac:dyDescent="0.3">
      <c r="D8" s="282" t="s">
        <v>176</v>
      </c>
      <c r="E8" s="165">
        <f>'PROY GPO ESCOBEDO'!F26</f>
        <v>0</v>
      </c>
      <c r="F8" s="291" t="s">
        <v>174</v>
      </c>
      <c r="J8" s="282" t="s">
        <v>176</v>
      </c>
      <c r="K8" s="165">
        <f>+'PROY GPO ESCOBEDO'!P19</f>
        <v>12.800000000000002</v>
      </c>
      <c r="L8" s="291" t="s">
        <v>174</v>
      </c>
      <c r="M8" s="3"/>
      <c r="N8" s="3"/>
      <c r="O8" s="131" t="s">
        <v>177</v>
      </c>
      <c r="P8" s="164">
        <f>SUM('INGRESO PERSONAL'!CI11:CI16)</f>
        <v>946928.57142857148</v>
      </c>
      <c r="Q8" s="171">
        <f t="shared" si="0"/>
        <v>7755.3527553527565</v>
      </c>
      <c r="R8" s="294">
        <f t="shared" si="1"/>
        <v>6.3064385690882324E-2</v>
      </c>
      <c r="S8" s="165">
        <f t="shared" si="2"/>
        <v>3.8840073095910115</v>
      </c>
    </row>
    <row r="9" spans="1:21" ht="14.4" x14ac:dyDescent="0.3">
      <c r="D9" s="282" t="s">
        <v>160</v>
      </c>
      <c r="E9" s="165">
        <f>'PROY GPO ESCOBEDO'!F27</f>
        <v>0</v>
      </c>
      <c r="F9" s="291" t="s">
        <v>174</v>
      </c>
      <c r="J9" s="282" t="s">
        <v>160</v>
      </c>
      <c r="K9" s="165">
        <f>+'PROY GPO ESCOBEDO'!P21</f>
        <v>15.600000000000003</v>
      </c>
      <c r="L9" s="291" t="s">
        <v>174</v>
      </c>
      <c r="M9" s="3"/>
      <c r="N9" s="3"/>
      <c r="O9" s="131" t="s">
        <v>91</v>
      </c>
      <c r="P9" s="164">
        <f>+' DIESEL '!N41*' DIESEL '!R15+' DIESEL '!H61</f>
        <v>1431610.2899999998</v>
      </c>
      <c r="Q9" s="171">
        <f t="shared" si="0"/>
        <v>11724.9</v>
      </c>
      <c r="R9" s="294">
        <f t="shared" si="1"/>
        <v>9.5343647041287033E-2</v>
      </c>
      <c r="S9" s="165">
        <f t="shared" si="2"/>
        <v>5.8720213948736433</v>
      </c>
    </row>
    <row r="10" spans="1:21" ht="14.4" x14ac:dyDescent="0.3">
      <c r="D10" s="282" t="s">
        <v>178</v>
      </c>
      <c r="E10" s="165">
        <f>'PROY GPO ESCOBEDO'!G25</f>
        <v>0</v>
      </c>
      <c r="F10" s="291" t="s">
        <v>146</v>
      </c>
      <c r="J10" s="282" t="s">
        <v>178</v>
      </c>
      <c r="K10" s="165">
        <f>+'PROY GPO ESCOBEDO'!R17</f>
        <v>30830.25</v>
      </c>
      <c r="L10" s="291" t="s">
        <v>146</v>
      </c>
      <c r="M10" s="3"/>
      <c r="N10" s="3"/>
      <c r="O10" s="131" t="s">
        <v>179</v>
      </c>
      <c r="P10" s="164">
        <v>256500</v>
      </c>
      <c r="Q10" s="171">
        <f t="shared" si="0"/>
        <v>2100.7371007371007</v>
      </c>
      <c r="R10" s="294">
        <f t="shared" si="1"/>
        <v>1.708261363928177E-2</v>
      </c>
      <c r="S10" s="165">
        <f t="shared" si="2"/>
        <v>1.0520834463861599</v>
      </c>
    </row>
    <row r="11" spans="1:21" ht="14.4" x14ac:dyDescent="0.3">
      <c r="D11" s="282" t="s">
        <v>180</v>
      </c>
      <c r="E11" s="165">
        <f>'PROY GPO ESCOBEDO'!G26</f>
        <v>0</v>
      </c>
      <c r="F11" s="291" t="s">
        <v>146</v>
      </c>
      <c r="J11" s="282" t="s">
        <v>180</v>
      </c>
      <c r="K11" s="165">
        <f>+'PROY GPO ESCOBEDO'!R19</f>
        <v>31257.600000000006</v>
      </c>
      <c r="L11" s="291" t="s">
        <v>146</v>
      </c>
      <c r="M11" s="3"/>
      <c r="N11" s="3"/>
      <c r="O11" s="200" t="s">
        <v>181</v>
      </c>
      <c r="P11" s="251">
        <v>1700000</v>
      </c>
      <c r="Q11" s="295">
        <f t="shared" si="0"/>
        <v>13923.013923013923</v>
      </c>
      <c r="R11" s="296">
        <f t="shared" si="1"/>
        <v>0.11321810209270568</v>
      </c>
      <c r="S11" s="297">
        <f t="shared" si="2"/>
        <v>6.9728727440798117</v>
      </c>
    </row>
    <row r="12" spans="1:21" ht="14.4" x14ac:dyDescent="0.3">
      <c r="D12" s="282" t="s">
        <v>182</v>
      </c>
      <c r="E12" s="165">
        <f>'PROY GPO ESCOBEDO'!G27</f>
        <v>0</v>
      </c>
      <c r="F12" s="291" t="s">
        <v>146</v>
      </c>
      <c r="J12" s="282" t="s">
        <v>182</v>
      </c>
      <c r="K12" s="165">
        <f>+'PROY GPO ESCOBEDO'!R21</f>
        <v>181714.10399999999</v>
      </c>
      <c r="L12" s="291" t="s">
        <v>146</v>
      </c>
      <c r="M12" s="3"/>
      <c r="N12" s="3"/>
      <c r="O12" s="298" t="s">
        <v>68</v>
      </c>
      <c r="P12" s="299">
        <f>SUM(P6:P11)</f>
        <v>15015266.715988575</v>
      </c>
      <c r="Q12" s="300">
        <f t="shared" si="0"/>
        <v>122975.15737910381</v>
      </c>
      <c r="R12" s="301">
        <f t="shared" si="1"/>
        <v>1</v>
      </c>
      <c r="S12" s="206">
        <f t="shared" si="2"/>
        <v>61.587967075885594</v>
      </c>
    </row>
    <row r="13" spans="1:21" ht="14.4" x14ac:dyDescent="0.3">
      <c r="D13" s="282" t="s">
        <v>183</v>
      </c>
      <c r="E13" s="165">
        <f>SUM(E10:E12)</f>
        <v>0</v>
      </c>
      <c r="F13" s="291" t="s">
        <v>146</v>
      </c>
      <c r="J13" s="282" t="s">
        <v>183</v>
      </c>
      <c r="K13" s="165">
        <f>SUM(K10:K12)</f>
        <v>243801.954</v>
      </c>
      <c r="L13" s="291" t="s">
        <v>146</v>
      </c>
      <c r="M13" s="3"/>
      <c r="N13" s="3"/>
      <c r="O13" s="72"/>
      <c r="P13" s="287"/>
      <c r="Q13" s="72"/>
      <c r="R13" s="72"/>
      <c r="S13" s="3"/>
    </row>
    <row r="14" spans="1:21" ht="14.4" x14ac:dyDescent="0.3">
      <c r="D14" s="282" t="s">
        <v>184</v>
      </c>
      <c r="E14" s="165">
        <f t="shared" ref="E14:E17" si="3">+E10/E$5</f>
        <v>0</v>
      </c>
      <c r="F14" s="291" t="s">
        <v>99</v>
      </c>
      <c r="J14" s="282" t="s">
        <v>184</v>
      </c>
      <c r="K14" s="165">
        <f t="shared" ref="K14:K17" si="4">+K10/K$5</f>
        <v>252.5</v>
      </c>
      <c r="L14" s="291" t="s">
        <v>99</v>
      </c>
      <c r="M14" s="3"/>
      <c r="N14" s="3"/>
      <c r="O14" s="359" t="s">
        <v>185</v>
      </c>
      <c r="P14" s="360"/>
      <c r="Q14" s="360"/>
      <c r="R14" s="367"/>
      <c r="S14" s="3"/>
    </row>
    <row r="15" spans="1:21" ht="14.4" x14ac:dyDescent="0.3">
      <c r="D15" s="282" t="s">
        <v>186</v>
      </c>
      <c r="E15" s="165">
        <f t="shared" si="3"/>
        <v>0</v>
      </c>
      <c r="F15" s="291" t="s">
        <v>99</v>
      </c>
      <c r="J15" s="282" t="s">
        <v>186</v>
      </c>
      <c r="K15" s="165">
        <f t="shared" si="4"/>
        <v>256.00000000000006</v>
      </c>
      <c r="L15" s="291" t="s">
        <v>99</v>
      </c>
      <c r="M15" s="3"/>
      <c r="N15" s="3"/>
      <c r="O15" s="194"/>
      <c r="P15" s="26" t="s">
        <v>187</v>
      </c>
      <c r="Q15" s="27" t="s">
        <v>188</v>
      </c>
      <c r="R15" s="189" t="s">
        <v>171</v>
      </c>
      <c r="S15" s="3"/>
    </row>
    <row r="16" spans="1:21" ht="14.4" x14ac:dyDescent="0.3">
      <c r="D16" s="282" t="s">
        <v>189</v>
      </c>
      <c r="E16" s="165">
        <f t="shared" si="3"/>
        <v>0</v>
      </c>
      <c r="F16" s="291" t="s">
        <v>99</v>
      </c>
      <c r="J16" s="282" t="s">
        <v>189</v>
      </c>
      <c r="K16" s="165">
        <f t="shared" si="4"/>
        <v>1488.24</v>
      </c>
      <c r="L16" s="291" t="s">
        <v>99</v>
      </c>
      <c r="M16" s="3"/>
      <c r="N16" s="3"/>
      <c r="O16" s="280" t="s">
        <v>190</v>
      </c>
      <c r="P16" s="302">
        <f>+'PROY GPO ESCOBEDO'!V17</f>
        <v>1914558.5250000001</v>
      </c>
      <c r="Q16" s="192">
        <f t="shared" ref="Q16:Q19" si="5">+P16/K$5</f>
        <v>15680.250000000002</v>
      </c>
      <c r="R16" s="303">
        <f t="shared" ref="R16:R19" si="6">+P16/K10</f>
        <v>62.1</v>
      </c>
      <c r="S16" s="3"/>
    </row>
    <row r="17" spans="1:21" ht="14.4" x14ac:dyDescent="0.3">
      <c r="D17" s="282" t="s">
        <v>191</v>
      </c>
      <c r="E17" s="165">
        <f t="shared" si="3"/>
        <v>0</v>
      </c>
      <c r="F17" s="291" t="s">
        <v>99</v>
      </c>
      <c r="J17" s="282" t="s">
        <v>191</v>
      </c>
      <c r="K17" s="165">
        <f t="shared" si="4"/>
        <v>1996.74</v>
      </c>
      <c r="L17" s="291" t="s">
        <v>99</v>
      </c>
      <c r="M17" s="3"/>
      <c r="N17" s="3"/>
      <c r="O17" s="282" t="s">
        <v>192</v>
      </c>
      <c r="P17" s="304">
        <f>+'PROY GPO ESCOBEDO'!V19</f>
        <v>2119265.2800000003</v>
      </c>
      <c r="Q17" s="171">
        <f t="shared" si="5"/>
        <v>17356.800000000003</v>
      </c>
      <c r="R17" s="303">
        <f t="shared" si="6"/>
        <v>67.8</v>
      </c>
      <c r="S17" s="3"/>
    </row>
    <row r="18" spans="1:21" ht="14.4" x14ac:dyDescent="0.3">
      <c r="D18" s="282" t="s">
        <v>138</v>
      </c>
      <c r="E18" s="165">
        <f>+'PROY GPO ESCOBEDO'!G21</f>
        <v>78</v>
      </c>
      <c r="F18" s="291" t="s">
        <v>138</v>
      </c>
      <c r="J18" s="282" t="s">
        <v>138</v>
      </c>
      <c r="K18" s="165">
        <f>+'PROY GPO ESCOBEDO'!G21</f>
        <v>78</v>
      </c>
      <c r="L18" s="291" t="s">
        <v>138</v>
      </c>
      <c r="M18" s="3"/>
      <c r="N18" s="3"/>
      <c r="O18" s="305" t="s">
        <v>160</v>
      </c>
      <c r="P18" s="306">
        <f>+'PROY GPO ESCOBEDO'!V21</f>
        <v>13737586.262400001</v>
      </c>
      <c r="Q18" s="187">
        <f t="shared" si="5"/>
        <v>112510.94400000002</v>
      </c>
      <c r="R18" s="307">
        <f t="shared" si="6"/>
        <v>75.600000000000009</v>
      </c>
      <c r="S18" s="3"/>
    </row>
    <row r="19" spans="1:21" ht="14.4" x14ac:dyDescent="0.3">
      <c r="D19" s="282" t="s">
        <v>143</v>
      </c>
      <c r="E19" s="165">
        <f>+'PROY GPO ESCOBEDO'!O21</f>
        <v>1.6911173212336115</v>
      </c>
      <c r="F19" s="291"/>
      <c r="J19" s="282" t="s">
        <v>143</v>
      </c>
      <c r="K19" s="165">
        <f>+'PROY GPO ESCOBEDO'!O21</f>
        <v>1.6911173212336115</v>
      </c>
      <c r="L19" s="291"/>
      <c r="M19" s="3"/>
      <c r="N19" s="3"/>
      <c r="O19" s="3"/>
      <c r="P19" s="279">
        <f>SUM(P16:P18)</f>
        <v>17771410.067400001</v>
      </c>
      <c r="Q19" s="207">
        <f t="shared" si="5"/>
        <v>145547.99400000001</v>
      </c>
      <c r="R19" s="207">
        <f t="shared" si="6"/>
        <v>72.892812284022966</v>
      </c>
      <c r="S19" s="3"/>
    </row>
    <row r="20" spans="1:21" ht="14.4" x14ac:dyDescent="0.3">
      <c r="C20" s="28"/>
      <c r="D20" s="305" t="s">
        <v>193</v>
      </c>
      <c r="E20" s="181">
        <f>+E19*E13</f>
        <v>0</v>
      </c>
      <c r="F20" s="308" t="s">
        <v>144</v>
      </c>
      <c r="J20" s="305" t="s">
        <v>193</v>
      </c>
      <c r="K20" s="181">
        <f>+K19*K13</f>
        <v>412297.70736000017</v>
      </c>
      <c r="L20" s="308" t="s">
        <v>144</v>
      </c>
      <c r="M20" s="3"/>
      <c r="N20" s="3"/>
    </row>
    <row r="21" spans="1:21" ht="15.75" customHeight="1" x14ac:dyDescent="0.3">
      <c r="C21" s="28"/>
      <c r="D21" s="278" t="s">
        <v>194</v>
      </c>
      <c r="E21" s="309">
        <v>20</v>
      </c>
      <c r="F21" s="3"/>
      <c r="J21" s="278" t="s">
        <v>194</v>
      </c>
      <c r="K21" s="309">
        <v>20</v>
      </c>
      <c r="L21" s="3"/>
      <c r="M21" s="3"/>
      <c r="N21" s="3"/>
      <c r="O21" s="354" t="s">
        <v>195</v>
      </c>
      <c r="P21" s="349"/>
      <c r="Q21" s="350"/>
    </row>
    <row r="22" spans="1:21" ht="15.75" customHeight="1" x14ac:dyDescent="0.3">
      <c r="B22" s="28"/>
      <c r="J22" s="3"/>
      <c r="K22" s="3"/>
      <c r="L22" s="3"/>
      <c r="M22" s="3"/>
      <c r="N22" s="3"/>
      <c r="O22" s="310"/>
      <c r="P22" s="311" t="s">
        <v>67</v>
      </c>
      <c r="Q22" s="101" t="s">
        <v>129</v>
      </c>
    </row>
    <row r="23" spans="1:21" ht="15.75" customHeight="1" x14ac:dyDescent="0.3">
      <c r="B23" s="28"/>
      <c r="D23" s="12" t="s">
        <v>196</v>
      </c>
      <c r="E23" s="78" t="s">
        <v>197</v>
      </c>
      <c r="F23" s="72"/>
      <c r="G23" s="72"/>
      <c r="J23" s="12" t="s">
        <v>196</v>
      </c>
      <c r="K23" s="78" t="s">
        <v>197</v>
      </c>
      <c r="L23" s="72"/>
      <c r="M23" s="72"/>
      <c r="N23" s="3"/>
      <c r="O23" s="312" t="s">
        <v>68</v>
      </c>
      <c r="P23" s="313">
        <f>+P12</f>
        <v>15015266.715988575</v>
      </c>
      <c r="Q23" s="160">
        <f t="shared" ref="Q23:Q25" si="7">+P23/K$5</f>
        <v>122975.15737910381</v>
      </c>
    </row>
    <row r="24" spans="1:21" ht="15.75" customHeight="1" x14ac:dyDescent="0.3">
      <c r="B24" s="28"/>
      <c r="D24" s="280" t="s">
        <v>133</v>
      </c>
      <c r="E24" s="314">
        <v>20.14</v>
      </c>
      <c r="F24" s="3"/>
      <c r="G24" s="3"/>
      <c r="J24" s="280" t="s">
        <v>133</v>
      </c>
      <c r="K24" s="314">
        <f>+'PROY GPO ESCOBEDO'!T26</f>
        <v>21</v>
      </c>
      <c r="L24" s="3"/>
      <c r="M24" s="3"/>
      <c r="N24" s="3"/>
      <c r="O24" s="315" t="s">
        <v>198</v>
      </c>
      <c r="P24" s="316">
        <f>+P19</f>
        <v>17771410.067400001</v>
      </c>
      <c r="Q24" s="295">
        <f t="shared" si="7"/>
        <v>145547.99400000001</v>
      </c>
    </row>
    <row r="25" spans="1:21" ht="15.75" customHeight="1" x14ac:dyDescent="0.3">
      <c r="D25" s="305" t="s">
        <v>175</v>
      </c>
      <c r="E25" s="181">
        <v>4.5999999999999996</v>
      </c>
      <c r="F25" s="3"/>
      <c r="G25" s="3"/>
      <c r="J25" s="305" t="s">
        <v>175</v>
      </c>
      <c r="K25" s="181">
        <f>+'PROY GPO ESCOBEDO'!T27</f>
        <v>4.5999999999999996</v>
      </c>
      <c r="L25" s="3"/>
      <c r="M25" s="3"/>
      <c r="N25" s="3"/>
      <c r="O25" s="78" t="s">
        <v>199</v>
      </c>
      <c r="P25" s="317">
        <f>+P24-P23</f>
        <v>2756143.3514114264</v>
      </c>
      <c r="Q25" s="318">
        <f t="shared" si="7"/>
        <v>22572.836620896203</v>
      </c>
      <c r="S25" s="28"/>
    </row>
    <row r="26" spans="1:21" ht="15.75" customHeight="1" x14ac:dyDescent="0.3">
      <c r="J26" s="3"/>
      <c r="K26" s="3"/>
      <c r="L26" s="3"/>
      <c r="M26" s="3"/>
      <c r="N26" s="3"/>
      <c r="O26" s="278" t="s">
        <v>200</v>
      </c>
      <c r="P26" s="319">
        <f>+P25/K13</f>
        <v>11.304845208137365</v>
      </c>
      <c r="Q26" s="320"/>
      <c r="S26" s="28"/>
    </row>
    <row r="27" spans="1:21" ht="15.75" customHeight="1" x14ac:dyDescent="0.3">
      <c r="D27" s="354" t="s">
        <v>168</v>
      </c>
      <c r="E27" s="349"/>
      <c r="F27" s="349"/>
      <c r="G27" s="350"/>
      <c r="O27" s="12" t="s">
        <v>201</v>
      </c>
      <c r="P27" s="319">
        <f>+P24/P23</f>
        <v>1.1835560702013124</v>
      </c>
      <c r="Q27" s="3"/>
      <c r="R27" s="3"/>
      <c r="S27" s="3"/>
      <c r="T27" s="3"/>
      <c r="U27" s="176"/>
    </row>
    <row r="28" spans="1:21" ht="15.75" customHeight="1" x14ac:dyDescent="0.3">
      <c r="A28" s="3"/>
      <c r="B28" s="3"/>
      <c r="C28" s="3"/>
      <c r="D28" s="221" t="s">
        <v>169</v>
      </c>
      <c r="E28" s="224" t="s">
        <v>68</v>
      </c>
      <c r="F28" s="289" t="s">
        <v>37</v>
      </c>
      <c r="G28" s="224" t="s">
        <v>170</v>
      </c>
      <c r="H28" s="290" t="s">
        <v>171</v>
      </c>
      <c r="I28" s="3"/>
      <c r="J28" s="3"/>
      <c r="K28" s="3"/>
      <c r="L28" s="3"/>
      <c r="M28" s="3"/>
      <c r="N28" s="3"/>
      <c r="R28" s="3"/>
      <c r="S28" s="3"/>
      <c r="T28" s="3"/>
      <c r="U28" s="28"/>
    </row>
    <row r="29" spans="1:21" ht="15.75" customHeight="1" x14ac:dyDescent="0.3">
      <c r="C29" s="28"/>
      <c r="D29" s="292" t="s">
        <v>133</v>
      </c>
      <c r="E29" s="153"/>
      <c r="F29" s="160"/>
      <c r="G29" s="293"/>
      <c r="H29" s="165"/>
      <c r="Q29" s="28"/>
      <c r="R29" s="3"/>
      <c r="S29" s="3"/>
      <c r="T29" s="3"/>
      <c r="U29" s="28"/>
    </row>
    <row r="30" spans="1:21" ht="15.75" customHeight="1" x14ac:dyDescent="0.3">
      <c r="C30" s="28"/>
      <c r="D30" s="131" t="s">
        <v>175</v>
      </c>
      <c r="E30" s="164"/>
      <c r="F30" s="171"/>
      <c r="G30" s="294"/>
      <c r="H30" s="165"/>
      <c r="O30" s="3"/>
      <c r="P30" s="3"/>
      <c r="Q30" s="28"/>
      <c r="R30" s="3"/>
      <c r="S30" s="3"/>
      <c r="T30" s="3"/>
      <c r="U30" s="28"/>
    </row>
    <row r="31" spans="1:21" ht="15.75" customHeight="1" x14ac:dyDescent="0.3">
      <c r="C31" s="28"/>
      <c r="D31" s="131" t="s">
        <v>177</v>
      </c>
      <c r="E31" s="164"/>
      <c r="F31" s="171"/>
      <c r="G31" s="294"/>
      <c r="H31" s="165"/>
      <c r="P31" s="3"/>
      <c r="Q31" s="3"/>
      <c r="R31" s="3"/>
      <c r="S31" s="3"/>
      <c r="T31" s="3"/>
      <c r="U31" s="28"/>
    </row>
    <row r="32" spans="1:21" ht="15.75" customHeight="1" x14ac:dyDescent="0.3">
      <c r="B32" s="28"/>
      <c r="C32" s="28"/>
      <c r="D32" s="131" t="s">
        <v>91</v>
      </c>
      <c r="E32" s="164"/>
      <c r="F32" s="171"/>
      <c r="G32" s="294"/>
      <c r="H32" s="165"/>
      <c r="P32" s="321"/>
      <c r="Q32" s="3"/>
      <c r="R32" s="3"/>
      <c r="S32" s="3"/>
      <c r="T32" s="3"/>
      <c r="U32" s="28"/>
    </row>
    <row r="33" spans="2:21" ht="15.75" customHeight="1" x14ac:dyDescent="0.3">
      <c r="B33" s="28"/>
      <c r="C33" s="28"/>
      <c r="D33" s="131" t="s">
        <v>179</v>
      </c>
      <c r="E33" s="164"/>
      <c r="F33" s="171"/>
      <c r="G33" s="294"/>
      <c r="H33" s="165"/>
      <c r="P33" s="3"/>
      <c r="Q33" s="3"/>
      <c r="R33" s="3"/>
      <c r="S33" s="3"/>
      <c r="T33" s="3"/>
      <c r="U33" s="28"/>
    </row>
    <row r="34" spans="2:21" ht="15.75" customHeight="1" x14ac:dyDescent="0.3">
      <c r="B34" s="28"/>
      <c r="C34" s="28"/>
      <c r="D34" s="200" t="s">
        <v>181</v>
      </c>
      <c r="E34" s="251"/>
      <c r="F34" s="295"/>
      <c r="G34" s="296"/>
      <c r="H34" s="297"/>
      <c r="P34" s="3"/>
      <c r="Q34" s="3"/>
      <c r="R34" s="3"/>
      <c r="S34" s="3"/>
      <c r="T34" s="3"/>
      <c r="U34" s="28"/>
    </row>
    <row r="35" spans="2:21" ht="15.75" customHeight="1" x14ac:dyDescent="0.3">
      <c r="C35" s="28"/>
      <c r="D35" s="298" t="s">
        <v>68</v>
      </c>
      <c r="E35" s="299"/>
      <c r="F35" s="300"/>
      <c r="G35" s="301"/>
      <c r="H35" s="206"/>
      <c r="P35" s="3"/>
      <c r="Q35" s="3"/>
      <c r="R35" s="3"/>
      <c r="S35" s="3"/>
      <c r="T35" s="3"/>
      <c r="U35" s="28"/>
    </row>
    <row r="36" spans="2:21" ht="15.75" customHeight="1" x14ac:dyDescent="0.3">
      <c r="C36" s="28"/>
      <c r="D36" s="72"/>
      <c r="E36" s="287"/>
      <c r="F36" s="287"/>
      <c r="G36" s="72"/>
      <c r="H36" s="3"/>
      <c r="P36" s="3"/>
      <c r="Q36" s="3"/>
      <c r="R36" s="3"/>
      <c r="S36" s="3"/>
      <c r="T36" s="3"/>
      <c r="U36" s="28"/>
    </row>
    <row r="37" spans="2:21" ht="15.75" customHeight="1" x14ac:dyDescent="0.3">
      <c r="D37" s="359" t="s">
        <v>202</v>
      </c>
      <c r="E37" s="360"/>
      <c r="F37" s="360"/>
      <c r="G37" s="367"/>
      <c r="P37" s="72"/>
      <c r="Q37" s="72"/>
      <c r="R37" s="72"/>
      <c r="S37" s="72"/>
      <c r="T37" s="72"/>
      <c r="U37" s="287"/>
    </row>
    <row r="38" spans="2:21" ht="15.75" customHeight="1" x14ac:dyDescent="0.3">
      <c r="D38" s="12"/>
      <c r="E38" s="26" t="s">
        <v>187</v>
      </c>
      <c r="F38" s="27" t="s">
        <v>188</v>
      </c>
      <c r="G38" s="189" t="s">
        <v>171</v>
      </c>
      <c r="P38" s="3"/>
      <c r="Q38" s="3"/>
      <c r="R38" s="3"/>
      <c r="S38" s="3"/>
      <c r="T38" s="3"/>
    </row>
    <row r="39" spans="2:21" ht="15.75" customHeight="1" x14ac:dyDescent="0.3">
      <c r="B39" s="28"/>
      <c r="C39" s="28"/>
      <c r="D39" s="280" t="s">
        <v>190</v>
      </c>
      <c r="E39" s="322" t="e">
        <f>+'PROY GPO ESCOBEDO'!#REF!</f>
        <v>#REF!</v>
      </c>
      <c r="F39" s="323" t="e">
        <f t="shared" ref="F39:F42" si="8">+E39/E$5</f>
        <v>#REF!</v>
      </c>
      <c r="G39" s="324" t="e">
        <f t="shared" ref="G39:G42" si="9">+E39/E10</f>
        <v>#REF!</v>
      </c>
      <c r="P39" s="3"/>
      <c r="Q39" s="3"/>
      <c r="R39" s="3"/>
      <c r="S39" s="3"/>
      <c r="T39" s="3"/>
      <c r="U39" s="28">
        <f>1400*K5</f>
        <v>170940</v>
      </c>
    </row>
    <row r="40" spans="2:21" ht="15.75" customHeight="1" x14ac:dyDescent="0.3">
      <c r="B40" s="28"/>
      <c r="C40" s="28"/>
      <c r="D40" s="282" t="s">
        <v>192</v>
      </c>
      <c r="E40" s="325" t="e">
        <f>+'PROY GPO ESCOBEDO'!#REF!</f>
        <v>#REF!</v>
      </c>
      <c r="F40" s="326" t="e">
        <f t="shared" si="8"/>
        <v>#REF!</v>
      </c>
      <c r="G40" s="303" t="e">
        <f t="shared" si="9"/>
        <v>#REF!</v>
      </c>
      <c r="P40" s="28"/>
      <c r="Q40" s="3"/>
      <c r="R40" s="3"/>
      <c r="S40" s="3"/>
      <c r="T40" s="3"/>
      <c r="U40" s="28">
        <f>+U37/U39</f>
        <v>0</v>
      </c>
    </row>
    <row r="41" spans="2:21" ht="15.75" customHeight="1" x14ac:dyDescent="0.3">
      <c r="B41" s="28"/>
      <c r="C41" s="28"/>
      <c r="D41" s="305" t="s">
        <v>160</v>
      </c>
      <c r="E41" s="327" t="e">
        <f>+'PROY GPO ESCOBEDO'!#REF!</f>
        <v>#REF!</v>
      </c>
      <c r="F41" s="328" t="e">
        <f t="shared" si="8"/>
        <v>#REF!</v>
      </c>
      <c r="G41" s="307" t="e">
        <f t="shared" si="9"/>
        <v>#REF!</v>
      </c>
    </row>
    <row r="42" spans="2:21" ht="15.75" customHeight="1" x14ac:dyDescent="0.3">
      <c r="B42" s="28"/>
      <c r="C42" s="28"/>
      <c r="D42" s="3"/>
      <c r="E42" s="213" t="e">
        <f>SUM(E39:E41)</f>
        <v>#REF!</v>
      </c>
      <c r="F42" s="329" t="e">
        <f t="shared" si="8"/>
        <v>#REF!</v>
      </c>
      <c r="G42" s="207" t="e">
        <f t="shared" si="9"/>
        <v>#REF!</v>
      </c>
    </row>
    <row r="43" spans="2:21" ht="15.75" customHeight="1" x14ac:dyDescent="0.3"/>
    <row r="44" spans="2:21" ht="15.75" customHeight="1" x14ac:dyDescent="0.3">
      <c r="D44" s="354" t="s">
        <v>203</v>
      </c>
      <c r="E44" s="349"/>
      <c r="F44" s="350"/>
      <c r="G44" s="72"/>
      <c r="M44" s="72"/>
    </row>
    <row r="45" spans="2:21" ht="15.75" customHeight="1" x14ac:dyDescent="0.3">
      <c r="D45" s="278"/>
      <c r="E45" s="206" t="s">
        <v>67</v>
      </c>
      <c r="F45" s="330" t="s">
        <v>129</v>
      </c>
      <c r="G45" s="3"/>
      <c r="M45" s="3"/>
    </row>
    <row r="46" spans="2:21" ht="15.75" customHeight="1" x14ac:dyDescent="0.3">
      <c r="D46" s="331" t="s">
        <v>68</v>
      </c>
      <c r="E46" s="154">
        <f>+E35</f>
        <v>0</v>
      </c>
      <c r="F46" s="332">
        <f t="shared" ref="F46:F48" si="10">+E46/K$5</f>
        <v>0</v>
      </c>
      <c r="M46" s="3"/>
    </row>
    <row r="47" spans="2:21" ht="15.75" customHeight="1" x14ac:dyDescent="0.3">
      <c r="D47" s="333" t="s">
        <v>198</v>
      </c>
      <c r="E47" s="165" t="e">
        <f>+E42</f>
        <v>#REF!</v>
      </c>
      <c r="F47" s="303" t="e">
        <f t="shared" si="10"/>
        <v>#REF!</v>
      </c>
      <c r="H47" s="28"/>
      <c r="M47" s="28"/>
    </row>
    <row r="48" spans="2:21" ht="15.75" customHeight="1" x14ac:dyDescent="0.3">
      <c r="C48" s="28"/>
      <c r="D48" s="333" t="s">
        <v>199</v>
      </c>
      <c r="E48" s="165" t="e">
        <f>+E47-E46</f>
        <v>#REF!</v>
      </c>
      <c r="F48" s="303" t="e">
        <f t="shared" si="10"/>
        <v>#REF!</v>
      </c>
      <c r="H48" s="28"/>
      <c r="M48" s="3"/>
      <c r="P48" s="28"/>
    </row>
    <row r="49" spans="4:16" ht="15.75" customHeight="1" x14ac:dyDescent="0.3">
      <c r="D49" s="334" t="s">
        <v>200</v>
      </c>
      <c r="E49" s="181" t="e">
        <f>+E48/E13</f>
        <v>#REF!</v>
      </c>
      <c r="F49" s="308"/>
      <c r="H49" s="28"/>
      <c r="M49" s="3"/>
      <c r="O49" s="28"/>
    </row>
    <row r="50" spans="4:16" ht="15.75" customHeight="1" x14ac:dyDescent="0.3">
      <c r="H50" s="28"/>
    </row>
    <row r="51" spans="4:16" ht="15.75" customHeight="1" x14ac:dyDescent="0.3">
      <c r="F51" s="28"/>
    </row>
    <row r="52" spans="4:16" ht="15.75" customHeight="1" x14ac:dyDescent="0.3">
      <c r="D52" s="354" t="s">
        <v>204</v>
      </c>
      <c r="E52" s="349"/>
      <c r="F52" s="349"/>
      <c r="G52" s="350"/>
      <c r="H52" s="3"/>
    </row>
    <row r="53" spans="4:16" ht="15.75" customHeight="1" x14ac:dyDescent="0.3">
      <c r="D53" s="221" t="s">
        <v>169</v>
      </c>
      <c r="E53" s="224" t="s">
        <v>68</v>
      </c>
      <c r="F53" s="289" t="s">
        <v>37</v>
      </c>
      <c r="G53" s="224" t="s">
        <v>170</v>
      </c>
      <c r="H53" s="335" t="s">
        <v>171</v>
      </c>
      <c r="M53" s="3"/>
      <c r="N53" s="3"/>
      <c r="O53" s="176"/>
      <c r="P53" s="28"/>
    </row>
    <row r="54" spans="4:16" ht="15.75" customHeight="1" x14ac:dyDescent="0.3">
      <c r="D54" s="336" t="s">
        <v>133</v>
      </c>
      <c r="E54" s="313">
        <f t="shared" ref="E54:E60" si="11">+E29+P6</f>
        <v>8658251.8545600045</v>
      </c>
      <c r="F54" s="153">
        <f t="shared" ref="F54:F60" si="12">+E54/E$5</f>
        <v>70911.153600000034</v>
      </c>
      <c r="G54" s="337">
        <f t="shared" ref="G54:G60" si="13">+E54/E$60</f>
        <v>0.57662990730231345</v>
      </c>
      <c r="H54" s="154">
        <f t="shared" ref="H54:H60" si="14">+E54/E$64</f>
        <v>35.513463745905845</v>
      </c>
      <c r="J54" s="3"/>
      <c r="K54" s="3"/>
      <c r="L54" s="28">
        <f>+Q29-Q30</f>
        <v>0</v>
      </c>
      <c r="M54" s="3"/>
      <c r="N54" s="3"/>
      <c r="O54" s="28"/>
      <c r="P54" s="28"/>
    </row>
    <row r="55" spans="4:16" ht="15.75" customHeight="1" x14ac:dyDescent="0.3">
      <c r="D55" s="282" t="s">
        <v>175</v>
      </c>
      <c r="E55" s="304">
        <f t="shared" si="11"/>
        <v>2021975.9999999998</v>
      </c>
      <c r="F55" s="164">
        <f t="shared" si="12"/>
        <v>16560</v>
      </c>
      <c r="G55" s="338">
        <f t="shared" si="13"/>
        <v>0.13466134423352979</v>
      </c>
      <c r="H55" s="165">
        <f t="shared" si="14"/>
        <v>8.2935184350491298</v>
      </c>
      <c r="J55" s="321"/>
      <c r="K55" s="3"/>
      <c r="L55" s="3"/>
      <c r="M55" s="3"/>
      <c r="N55" s="3"/>
      <c r="O55" s="28"/>
      <c r="P55" s="28"/>
    </row>
    <row r="56" spans="4:16" ht="15.75" customHeight="1" x14ac:dyDescent="0.3">
      <c r="D56" s="282" t="s">
        <v>177</v>
      </c>
      <c r="E56" s="304">
        <f t="shared" si="11"/>
        <v>946928.57142857148</v>
      </c>
      <c r="F56" s="164">
        <f t="shared" si="12"/>
        <v>7755.3527553527565</v>
      </c>
      <c r="G56" s="338">
        <f t="shared" si="13"/>
        <v>6.3064385690882324E-2</v>
      </c>
      <c r="H56" s="165">
        <f t="shared" si="14"/>
        <v>3.8840073095910115</v>
      </c>
      <c r="J56" s="3"/>
      <c r="K56" s="3"/>
      <c r="L56" s="3"/>
      <c r="M56" s="3"/>
      <c r="N56" s="3"/>
      <c r="O56" s="28"/>
    </row>
    <row r="57" spans="4:16" ht="15.75" customHeight="1" x14ac:dyDescent="0.3">
      <c r="D57" s="282" t="s">
        <v>91</v>
      </c>
      <c r="E57" s="304">
        <f t="shared" si="11"/>
        <v>1431610.2899999998</v>
      </c>
      <c r="F57" s="164">
        <f t="shared" si="12"/>
        <v>11724.9</v>
      </c>
      <c r="G57" s="338">
        <f t="shared" si="13"/>
        <v>9.5343647041287033E-2</v>
      </c>
      <c r="H57" s="165">
        <f t="shared" si="14"/>
        <v>5.8720213948736433</v>
      </c>
      <c r="J57" s="3"/>
      <c r="K57" s="3"/>
      <c r="L57" s="3"/>
      <c r="M57" s="3"/>
      <c r="N57" s="3"/>
      <c r="O57" s="28"/>
    </row>
    <row r="58" spans="4:16" ht="15.75" customHeight="1" x14ac:dyDescent="0.3">
      <c r="D58" s="282" t="s">
        <v>179</v>
      </c>
      <c r="E58" s="304">
        <f t="shared" si="11"/>
        <v>256500</v>
      </c>
      <c r="F58" s="164">
        <f t="shared" si="12"/>
        <v>2100.7371007371007</v>
      </c>
      <c r="G58" s="338">
        <f t="shared" si="13"/>
        <v>1.708261363928177E-2</v>
      </c>
      <c r="H58" s="165">
        <f t="shared" si="14"/>
        <v>1.0520834463861599</v>
      </c>
      <c r="J58" s="321"/>
      <c r="K58" s="3"/>
      <c r="L58" s="3"/>
      <c r="M58" s="3"/>
      <c r="N58" s="3"/>
      <c r="O58" s="28"/>
    </row>
    <row r="59" spans="4:16" ht="15.75" customHeight="1" x14ac:dyDescent="0.3">
      <c r="D59" s="285" t="s">
        <v>181</v>
      </c>
      <c r="E59" s="316">
        <f t="shared" si="11"/>
        <v>1700000</v>
      </c>
      <c r="F59" s="251">
        <f t="shared" si="12"/>
        <v>13923.013923013923</v>
      </c>
      <c r="G59" s="339">
        <f t="shared" si="13"/>
        <v>0.11321810209270568</v>
      </c>
      <c r="H59" s="181">
        <f t="shared" si="14"/>
        <v>6.9728727440798117</v>
      </c>
      <c r="J59" s="3"/>
      <c r="K59" s="3"/>
      <c r="L59" s="3"/>
      <c r="M59" s="3"/>
      <c r="N59" s="3"/>
      <c r="O59" s="28"/>
    </row>
    <row r="60" spans="4:16" ht="15.75" customHeight="1" x14ac:dyDescent="0.3">
      <c r="D60" s="12" t="s">
        <v>68</v>
      </c>
      <c r="E60" s="340">
        <f t="shared" si="11"/>
        <v>15015266.715988575</v>
      </c>
      <c r="F60" s="299">
        <f t="shared" si="12"/>
        <v>122975.15737910381</v>
      </c>
      <c r="G60" s="341">
        <f t="shared" si="13"/>
        <v>1</v>
      </c>
      <c r="H60" s="206">
        <f t="shared" si="14"/>
        <v>61.587967075885594</v>
      </c>
      <c r="J60" s="3"/>
      <c r="K60" s="3"/>
      <c r="L60" s="3"/>
      <c r="M60" s="3"/>
      <c r="N60" s="3"/>
      <c r="O60" s="28"/>
    </row>
    <row r="61" spans="4:16" ht="15.75" customHeight="1" x14ac:dyDescent="0.3">
      <c r="J61" s="3"/>
      <c r="K61" s="3"/>
      <c r="L61" s="3"/>
      <c r="M61" s="3"/>
      <c r="N61" s="3"/>
      <c r="O61" s="28"/>
    </row>
    <row r="62" spans="4:16" ht="15.75" customHeight="1" x14ac:dyDescent="0.3">
      <c r="D62" s="354" t="s">
        <v>205</v>
      </c>
      <c r="E62" s="349"/>
      <c r="F62" s="350"/>
      <c r="J62" s="3"/>
      <c r="K62" s="3"/>
      <c r="L62" s="3"/>
      <c r="M62" s="3"/>
      <c r="N62" s="3"/>
      <c r="O62" s="28"/>
    </row>
    <row r="63" spans="4:16" ht="15.75" customHeight="1" x14ac:dyDescent="0.3">
      <c r="D63" s="278"/>
      <c r="E63" s="206" t="s">
        <v>67</v>
      </c>
      <c r="F63" s="330" t="s">
        <v>129</v>
      </c>
      <c r="J63" s="72"/>
      <c r="K63" s="72"/>
      <c r="L63" s="72"/>
      <c r="M63" s="72"/>
      <c r="N63" s="72"/>
      <c r="O63" s="28"/>
    </row>
    <row r="64" spans="4:16" ht="15.75" customHeight="1" x14ac:dyDescent="0.3">
      <c r="D64" s="331" t="s">
        <v>183</v>
      </c>
      <c r="E64" s="206">
        <f>+E13+K13</f>
        <v>243801.954</v>
      </c>
      <c r="F64" s="342">
        <f>+E64/E5</f>
        <v>1996.74</v>
      </c>
      <c r="G64" s="3"/>
      <c r="H64" s="3"/>
      <c r="I64" s="3"/>
      <c r="J64" s="3"/>
      <c r="K64" s="3"/>
      <c r="L64" s="3"/>
      <c r="M64" s="3"/>
      <c r="N64" s="3"/>
      <c r="O64" s="287"/>
    </row>
    <row r="65" spans="1:21" ht="15.75" customHeight="1" x14ac:dyDescent="0.3">
      <c r="A65" s="3"/>
      <c r="B65" s="3"/>
      <c r="C65" s="3"/>
      <c r="D65" s="343" t="s">
        <v>198</v>
      </c>
      <c r="E65" s="344" t="e">
        <f t="shared" ref="E65:E66" si="15">+E47+P24</f>
        <v>#REF!</v>
      </c>
      <c r="F65" s="205" t="e">
        <f t="shared" ref="F65:F66" si="16">+E65/E$5</f>
        <v>#REF!</v>
      </c>
      <c r="J65" s="3"/>
      <c r="O65" s="3"/>
      <c r="P65" s="3"/>
      <c r="Q65" s="3"/>
      <c r="R65" s="3"/>
      <c r="S65" s="3"/>
      <c r="T65" s="3"/>
      <c r="U65" s="3"/>
    </row>
    <row r="66" spans="1:21" ht="15.75" customHeight="1" x14ac:dyDescent="0.3">
      <c r="D66" s="12" t="s">
        <v>199</v>
      </c>
      <c r="E66" s="206" t="e">
        <f t="shared" si="15"/>
        <v>#REF!</v>
      </c>
      <c r="F66" s="207" t="e">
        <f t="shared" si="16"/>
        <v>#REF!</v>
      </c>
      <c r="J66" s="28"/>
    </row>
    <row r="67" spans="1:21" ht="15.75" customHeight="1" x14ac:dyDescent="0.3">
      <c r="D67" s="278" t="s">
        <v>200</v>
      </c>
      <c r="E67" s="309" t="e">
        <f>+E66/E64</f>
        <v>#REF!</v>
      </c>
      <c r="F67" s="345" t="e">
        <f>+E66/E64</f>
        <v>#REF!</v>
      </c>
      <c r="J67" s="28"/>
      <c r="O67" s="28"/>
    </row>
    <row r="68" spans="1:21" ht="15.75" customHeight="1" x14ac:dyDescent="0.3">
      <c r="J68" s="28"/>
    </row>
    <row r="69" spans="1:21" ht="15.75" customHeight="1" x14ac:dyDescent="0.3">
      <c r="E69" s="28"/>
    </row>
    <row r="70" spans="1:21" ht="15.75" customHeight="1" x14ac:dyDescent="0.3"/>
    <row r="71" spans="1:21" ht="15.75" customHeight="1" x14ac:dyDescent="0.3"/>
    <row r="72" spans="1:21" ht="15.75" customHeight="1" x14ac:dyDescent="0.3"/>
    <row r="73" spans="1:21" ht="15.75" customHeight="1" x14ac:dyDescent="0.3"/>
    <row r="74" spans="1:21" ht="15.75" customHeight="1" x14ac:dyDescent="0.3"/>
    <row r="75" spans="1:21" ht="15.75" customHeight="1" x14ac:dyDescent="0.3"/>
    <row r="76" spans="1:21" ht="15.75" customHeight="1" x14ac:dyDescent="0.3"/>
    <row r="77" spans="1:21" ht="15.75" customHeight="1" x14ac:dyDescent="0.3"/>
    <row r="78" spans="1:21" ht="15.75" customHeight="1" x14ac:dyDescent="0.3"/>
    <row r="79" spans="1:21" ht="15.75" customHeight="1" x14ac:dyDescent="0.3"/>
    <row r="80" spans="1:21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</sheetData>
  <mergeCells count="11">
    <mergeCell ref="O21:Q21"/>
    <mergeCell ref="O14:R14"/>
    <mergeCell ref="O4:R4"/>
    <mergeCell ref="D2:S2"/>
    <mergeCell ref="D62:F62"/>
    <mergeCell ref="D44:F44"/>
    <mergeCell ref="D27:G27"/>
    <mergeCell ref="D4:F4"/>
    <mergeCell ref="D37:G37"/>
    <mergeCell ref="J4:L4"/>
    <mergeCell ref="D52:G52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PRECIOS</vt:lpstr>
      <vt:lpstr>INGRESO PERSONAL</vt:lpstr>
      <vt:lpstr> DIESEL </vt:lpstr>
      <vt:lpstr>PROY GPO ESCOBEDO</vt:lpstr>
      <vt:lpstr>MEMORIA DE CALCULO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JUVENTINO BARRERAS COTA</dc:creator>
  <cp:lastModifiedBy>BEBE ESCOBEDO</cp:lastModifiedBy>
  <dcterms:created xsi:type="dcterms:W3CDTF">2021-11-06T01:24:37Z</dcterms:created>
  <dcterms:modified xsi:type="dcterms:W3CDTF">2025-09-19T07:29:51Z</dcterms:modified>
</cp:coreProperties>
</file>